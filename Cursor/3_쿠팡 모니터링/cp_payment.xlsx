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ana\Cursor\3_쿠팡 모니터링\"/>
    </mc:Choice>
  </mc:AlternateContent>
  <xr:revisionPtr revIDLastSave="0" documentId="13_ncr:1_{D481030A-5E0C-4180-8356-26AF89DC2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주요지표" sheetId="1" r:id="rId1"/>
  </sheets>
  <definedNames>
    <definedName name="_xlnm._FilterDatabase" localSheetId="0" hidden="1">주요지표!$A$5:$O$5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64" i="1" l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R6" i="1"/>
  <c r="R7" i="1"/>
  <c r="R8" i="1"/>
  <c r="R9" i="1"/>
  <c r="R10" i="1"/>
  <c r="R11" i="1"/>
  <c r="R12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13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6" i="1"/>
  <c r="Q7" i="1"/>
  <c r="Q8" i="1"/>
  <c r="Q9" i="1"/>
  <c r="Q10" i="1"/>
  <c r="Q11" i="1"/>
  <c r="Q12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  화면 : </t>
        </r>
        <r>
          <rPr>
            <sz val="9"/>
            <color rgb="FF000000"/>
            <rFont val="Calibri"/>
            <family val="2"/>
          </rPr>
          <t>리테일 브랜드 상세 &gt; 전체 결제자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리테일 브랜드 : </t>
        </r>
        <r>
          <rPr>
            <sz val="9"/>
            <color rgb="FF000000"/>
            <rFont val="Calibri"/>
            <family val="2"/>
          </rPr>
          <t>쿠팡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기간 : </t>
        </r>
        <r>
          <rPr>
            <sz val="9"/>
            <color rgb="FF000000"/>
            <rFont val="Calibri"/>
            <family val="2"/>
          </rPr>
          <t>일간 / 2026년 2월 15일 ~ 3월 15일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지표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 ∙ 주요지표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<sst xmlns="http://schemas.openxmlformats.org/spreadsheetml/2006/main" count="2155" uniqueCount="831">
  <si>
    <t>와이즈앱/리테일</t>
  </si>
  <si>
    <t>리테일 브랜드 상세 / 전체 결제자</t>
  </si>
  <si>
    <t>주요지표</t>
  </si>
  <si>
    <t>일간</t>
  </si>
  <si>
    <t>2026-02-15 ~ 2026-03-15</t>
  </si>
  <si>
    <t>필터</t>
  </si>
  <si>
    <t>기간</t>
  </si>
  <si>
    <t>쿠팡</t>
  </si>
  <si>
    <t>순 결제금액(원)</t>
  </si>
  <si>
    <t>총 결제금액(원)</t>
  </si>
  <si>
    <t>총 결제취소금액(원)</t>
  </si>
  <si>
    <t>총 결제횟수(회)</t>
  </si>
  <si>
    <t>총 결제자(명)</t>
  </si>
  <si>
    <t>1인당 평균 결제금액(원)</t>
  </si>
  <si>
    <t>1회당 평균 결제금액(원)</t>
  </si>
  <si>
    <t>1인당 평균 결제횟수(회)</t>
  </si>
  <si>
    <t>1인당 평균 결제일수(일)</t>
  </si>
  <si>
    <t>순 결제금액 성장비율(%)</t>
  </si>
  <si>
    <t>총 결제금액 성장비율(%)</t>
  </si>
  <si>
    <t>총 결제취소금액 성장비율(%)</t>
  </si>
  <si>
    <t>총 결제횟수 성장비율(%)</t>
  </si>
  <si>
    <t>총 결제자 성장비율(%)</t>
  </si>
  <si>
    <t>2026-02-15</t>
  </si>
  <si>
    <t>1.4</t>
  </si>
  <si>
    <t>1.0</t>
  </si>
  <si>
    <t>-14.1%</t>
  </si>
  <si>
    <t>-14.6%</t>
  </si>
  <si>
    <t>-9.8%</t>
  </si>
  <si>
    <t>-8.1%</t>
  </si>
  <si>
    <t>2026-02-16</t>
  </si>
  <si>
    <t>-30.3%</t>
  </si>
  <si>
    <t>-30.0%</t>
  </si>
  <si>
    <t>-10.4%</t>
  </si>
  <si>
    <t>-8.6%</t>
  </si>
  <si>
    <t>2026-02-17</t>
  </si>
  <si>
    <t>+9.7%</t>
  </si>
  <si>
    <t>+9.4%</t>
  </si>
  <si>
    <t>-5.3%</t>
  </si>
  <si>
    <t>+4.5%</t>
  </si>
  <si>
    <t>+4.4%</t>
  </si>
  <si>
    <t>2026-02-18</t>
  </si>
  <si>
    <t>1.5</t>
  </si>
  <si>
    <t>+35.8%</t>
  </si>
  <si>
    <t>+35.3%</t>
  </si>
  <si>
    <t>+2.3%</t>
  </si>
  <si>
    <t>+25.5%</t>
  </si>
  <si>
    <t>+20.5%</t>
  </si>
  <si>
    <t>2026-02-19</t>
  </si>
  <si>
    <t>1.7</t>
  </si>
  <si>
    <t>+29.2%</t>
  </si>
  <si>
    <t>+29.4%</t>
  </si>
  <si>
    <t>+51.3%</t>
  </si>
  <si>
    <t>+30.3%</t>
  </si>
  <si>
    <t>+12.5%</t>
  </si>
  <si>
    <t>2026-02-20</t>
  </si>
  <si>
    <t>-8.5%</t>
  </si>
  <si>
    <t>-8.0%</t>
  </si>
  <si>
    <t>+28.8%</t>
  </si>
  <si>
    <t>-6.4%</t>
  </si>
  <si>
    <t>-3.9%</t>
  </si>
  <si>
    <t>2026-02-21</t>
  </si>
  <si>
    <t>+0.3%</t>
  </si>
  <si>
    <t>+0.1%</t>
  </si>
  <si>
    <t>-12.3%</t>
  </si>
  <si>
    <t>-17.2%</t>
  </si>
  <si>
    <t>-6.7%</t>
  </si>
  <si>
    <t>2026-02-22</t>
  </si>
  <si>
    <t>+3.3%</t>
  </si>
  <si>
    <t>+3.1%</t>
  </si>
  <si>
    <t>-13.2%</t>
  </si>
  <si>
    <t>+4.6%</t>
  </si>
  <si>
    <t>+4.1%</t>
  </si>
  <si>
    <t>2026-02-23</t>
  </si>
  <si>
    <t>1.8</t>
  </si>
  <si>
    <t>+6.5%</t>
  </si>
  <si>
    <t>+29.6%</t>
  </si>
  <si>
    <t>+8.0%</t>
  </si>
  <si>
    <t>2026-02-24</t>
  </si>
  <si>
    <t>+0.5%</t>
  </si>
  <si>
    <t>+1.0%</t>
  </si>
  <si>
    <t>+35.6%</t>
  </si>
  <si>
    <t>-0.1%</t>
  </si>
  <si>
    <t>+1.2%</t>
  </si>
  <si>
    <t>2026-02-25</t>
  </si>
  <si>
    <t>+4.7%</t>
  </si>
  <si>
    <t>-7.8%</t>
  </si>
  <si>
    <t>-1.9%</t>
  </si>
  <si>
    <t>-0.2%</t>
  </si>
  <si>
    <t>2026-02-26</t>
  </si>
  <si>
    <t>-5.8%</t>
  </si>
  <si>
    <t>-5.9%</t>
  </si>
  <si>
    <t>-11.6%</t>
  </si>
  <si>
    <t>-2.3%</t>
  </si>
  <si>
    <t>-1.8%</t>
  </si>
  <si>
    <t>2026-02-27</t>
  </si>
  <si>
    <t>1.6</t>
  </si>
  <si>
    <t>-2.1%</t>
  </si>
  <si>
    <t>-1.7%</t>
  </si>
  <si>
    <t>+19.8%</t>
  </si>
  <si>
    <t>-9.2%</t>
  </si>
  <si>
    <t>-5.2%</t>
  </si>
  <si>
    <t>2026-02-28</t>
  </si>
  <si>
    <t>-15.0%</t>
  </si>
  <si>
    <t>+13.6%</t>
  </si>
  <si>
    <t>2026-03-01</t>
  </si>
  <si>
    <t>1.2</t>
  </si>
  <si>
    <t>-14.0%</t>
  </si>
  <si>
    <t>-14.2%</t>
  </si>
  <si>
    <t>-21.9%</t>
  </si>
  <si>
    <t>-25.8%</t>
  </si>
  <si>
    <t>2026-03-02</t>
  </si>
  <si>
    <t>+0.2%</t>
  </si>
  <si>
    <t>+9.1%</t>
  </si>
  <si>
    <t>2026-03-03</t>
  </si>
  <si>
    <t>+57.3%</t>
  </si>
  <si>
    <t>+57.7%</t>
  </si>
  <si>
    <t>+90.4%</t>
  </si>
  <si>
    <t>+53.5%</t>
  </si>
  <si>
    <t>2026-03-04</t>
  </si>
  <si>
    <t>-3.4%</t>
  </si>
  <si>
    <t>-3.2%</t>
  </si>
  <si>
    <t>+12.0%</t>
  </si>
  <si>
    <t>-5.1%</t>
  </si>
  <si>
    <t>-3.1%</t>
  </si>
  <si>
    <t>2026-03-05</t>
  </si>
  <si>
    <t>+3.4%</t>
  </si>
  <si>
    <t>+3.2%</t>
  </si>
  <si>
    <t>-6.9%</t>
  </si>
  <si>
    <t>+0.9%</t>
  </si>
  <si>
    <t>2026-03-06</t>
  </si>
  <si>
    <t>-14.3%</t>
  </si>
  <si>
    <t>-13.6%</t>
  </si>
  <si>
    <t>-7.9%</t>
  </si>
  <si>
    <t>2026-03-07</t>
  </si>
  <si>
    <t>-19.0%</t>
  </si>
  <si>
    <t>-24.6%</t>
  </si>
  <si>
    <t>-19.4%</t>
  </si>
  <si>
    <t>2026-03-08</t>
  </si>
  <si>
    <t>+1.9%</t>
  </si>
  <si>
    <t>+1.7%</t>
  </si>
  <si>
    <t>-14.7%</t>
  </si>
  <si>
    <t>+2.8%</t>
  </si>
  <si>
    <t>+2.6%</t>
  </si>
  <si>
    <t>2026-03-09</t>
  </si>
  <si>
    <t>+37.2%</t>
  </si>
  <si>
    <t>+37.3%</t>
  </si>
  <si>
    <t>+46.2%</t>
  </si>
  <si>
    <t>+35.1%</t>
  </si>
  <si>
    <t>+13.8%</t>
  </si>
  <si>
    <t>2026-03-10</t>
  </si>
  <si>
    <t>+0.7%</t>
  </si>
  <si>
    <t>+17.2%</t>
  </si>
  <si>
    <t>-0.7%</t>
  </si>
  <si>
    <t>+1.5%</t>
  </si>
  <si>
    <t>2026-03-11</t>
  </si>
  <si>
    <t>-4.8%</t>
  </si>
  <si>
    <t>-4.9%</t>
  </si>
  <si>
    <t>-3.6%</t>
  </si>
  <si>
    <t>-3.5%</t>
  </si>
  <si>
    <t>2026-03-12</t>
  </si>
  <si>
    <t>-2.2%</t>
  </si>
  <si>
    <t>-1.5%</t>
  </si>
  <si>
    <t>-1.2%</t>
  </si>
  <si>
    <t>2026-03-13</t>
  </si>
  <si>
    <t>-4.1%</t>
  </si>
  <si>
    <t>-8.8%</t>
  </si>
  <si>
    <t>-6.6%</t>
  </si>
  <si>
    <t>2026-03-14</t>
  </si>
  <si>
    <t>-20.0%</t>
  </si>
  <si>
    <t>-18.6%</t>
  </si>
  <si>
    <t>-19.3%</t>
  </si>
  <si>
    <t>-8.2%</t>
  </si>
  <si>
    <t>2026-03-15</t>
  </si>
  <si>
    <t>+5.9%</t>
  </si>
  <si>
    <t>+5.5%</t>
  </si>
  <si>
    <t>-19.2%</t>
  </si>
  <si>
    <t>+6.6%</t>
  </si>
  <si>
    <t>2026-01-15</t>
  </si>
  <si>
    <t>+28.4%</t>
  </si>
  <si>
    <t>+32.0%</t>
  </si>
  <si>
    <t>+2.7%</t>
  </si>
  <si>
    <t>2026-01-16</t>
  </si>
  <si>
    <t>-2.4%</t>
  </si>
  <si>
    <t>2026-01-17</t>
  </si>
  <si>
    <t>+16.8%</t>
  </si>
  <si>
    <t>+14.7%</t>
  </si>
  <si>
    <t>-17.8%</t>
  </si>
  <si>
    <t>-10.0%</t>
  </si>
  <si>
    <t>2026-01-18</t>
  </si>
  <si>
    <t>-12.5%</t>
  </si>
  <si>
    <t>-12.8%</t>
  </si>
  <si>
    <t>-29.2%</t>
  </si>
  <si>
    <t>+2.9%</t>
  </si>
  <si>
    <t>+2.1%</t>
  </si>
  <si>
    <t>2026-01-19</t>
  </si>
  <si>
    <t>-6.3%</t>
  </si>
  <si>
    <t>+26.5%</t>
  </si>
  <si>
    <t>+12.8%</t>
  </si>
  <si>
    <t>2026-01-20</t>
  </si>
  <si>
    <t>+5.0%</t>
  </si>
  <si>
    <t>+33.4%</t>
  </si>
  <si>
    <t>+0.6%</t>
  </si>
  <si>
    <t>2026-01-21</t>
  </si>
  <si>
    <t>-20.5%</t>
  </si>
  <si>
    <t>-23.5%</t>
  </si>
  <si>
    <t>-2.9%</t>
  </si>
  <si>
    <t>-2.6%</t>
  </si>
  <si>
    <t>2026-01-22</t>
  </si>
  <si>
    <t>+24.1%</t>
  </si>
  <si>
    <t>+23.4%</t>
  </si>
  <si>
    <t>-1.3%</t>
  </si>
  <si>
    <t>-1.0%</t>
  </si>
  <si>
    <t>2026-01-23</t>
  </si>
  <si>
    <t>-2.5%</t>
  </si>
  <si>
    <t>+4.0%</t>
  </si>
  <si>
    <t>2026-01-24</t>
  </si>
  <si>
    <t>+18.9%</t>
  </si>
  <si>
    <t>+19.0%</t>
  </si>
  <si>
    <t>+21.1%</t>
  </si>
  <si>
    <t>-14.5%</t>
  </si>
  <si>
    <t>-6.8%</t>
  </si>
  <si>
    <t>2026-01-25</t>
  </si>
  <si>
    <t>-13.5%</t>
  </si>
  <si>
    <t>-29.5%</t>
  </si>
  <si>
    <t>+4.3%</t>
  </si>
  <si>
    <t>+4.2%</t>
  </si>
  <si>
    <t>2026-01-26</t>
  </si>
  <si>
    <t>+1.4%</t>
  </si>
  <si>
    <t>+31.6%</t>
  </si>
  <si>
    <t>+14.3%</t>
  </si>
  <si>
    <t>2026-01-27</t>
  </si>
  <si>
    <t>-0.9%</t>
  </si>
  <si>
    <t>-0.5%</t>
  </si>
  <si>
    <t>2026-01-28</t>
  </si>
  <si>
    <t>-20.6%</t>
  </si>
  <si>
    <t>-25.2%</t>
  </si>
  <si>
    <t>-5.0%</t>
  </si>
  <si>
    <t>2026-01-29</t>
  </si>
  <si>
    <t>-0.3%</t>
  </si>
  <si>
    <t>2026-01-30</t>
  </si>
  <si>
    <t>-4.6%</t>
  </si>
  <si>
    <t>-3.7%</t>
  </si>
  <si>
    <t>-12.0%</t>
  </si>
  <si>
    <t>-10.5%</t>
  </si>
  <si>
    <t>2026-01-31</t>
  </si>
  <si>
    <t>+20.4%</t>
  </si>
  <si>
    <t>+20.8%</t>
  </si>
  <si>
    <t>-11.0%</t>
  </si>
  <si>
    <t>-1.4%</t>
  </si>
  <si>
    <t>2026-02-01</t>
  </si>
  <si>
    <t>-2.8%</t>
  </si>
  <si>
    <t>-23.9%</t>
  </si>
  <si>
    <t>+17.1%</t>
  </si>
  <si>
    <t>+5.4%</t>
  </si>
  <si>
    <t>2026-02-02</t>
  </si>
  <si>
    <t>+7.4%</t>
  </si>
  <si>
    <t>+7.6%</t>
  </si>
  <si>
    <t>+20.3%</t>
  </si>
  <si>
    <t>+39.9%</t>
  </si>
  <si>
    <t>+17.6%</t>
  </si>
  <si>
    <t>2026-02-03</t>
  </si>
  <si>
    <t>-6.0%</t>
  </si>
  <si>
    <t>+11.9%</t>
  </si>
  <si>
    <t>2026-02-04</t>
  </si>
  <si>
    <t>2026-02-05</t>
  </si>
  <si>
    <t>-4.7%</t>
  </si>
  <si>
    <t>-7.2%</t>
  </si>
  <si>
    <t>-0.4%</t>
  </si>
  <si>
    <t>2026-02-06</t>
  </si>
  <si>
    <t>-5.4%</t>
  </si>
  <si>
    <t>-5.7%</t>
  </si>
  <si>
    <t>2026-02-07</t>
  </si>
  <si>
    <t>-17.0%</t>
  </si>
  <si>
    <t>2026-02-08</t>
  </si>
  <si>
    <t>+5.8%</t>
  </si>
  <si>
    <t>-12.2%</t>
  </si>
  <si>
    <t>2026-02-09</t>
  </si>
  <si>
    <t>1.9</t>
  </si>
  <si>
    <t>+10.9%</t>
  </si>
  <si>
    <t>+11.0%</t>
  </si>
  <si>
    <t>+19.5%</t>
  </si>
  <si>
    <t>+36.9%</t>
  </si>
  <si>
    <t>2026-02-10</t>
  </si>
  <si>
    <t>+1.1%</t>
  </si>
  <si>
    <t>+10.8%</t>
  </si>
  <si>
    <t>+0.4%</t>
  </si>
  <si>
    <t>+3.0%</t>
  </si>
  <si>
    <t>2026-02-11</t>
  </si>
  <si>
    <t>+2.4%</t>
  </si>
  <si>
    <t>-4.3%</t>
  </si>
  <si>
    <t>2026-02-12</t>
  </si>
  <si>
    <t>-10.1%</t>
  </si>
  <si>
    <t>2026-02-13</t>
  </si>
  <si>
    <t>-10.6%</t>
  </si>
  <si>
    <t>-7.4%</t>
  </si>
  <si>
    <t>2026-02-14</t>
  </si>
  <si>
    <t>-19.6%</t>
  </si>
  <si>
    <t>2025-12-15</t>
  </si>
  <si>
    <t>+34.7%</t>
  </si>
  <si>
    <t>+30.9%</t>
  </si>
  <si>
    <t>+42.8%</t>
  </si>
  <si>
    <t>+16.2%</t>
  </si>
  <si>
    <t>2025-12-16</t>
  </si>
  <si>
    <t>-4.2%</t>
  </si>
  <si>
    <t>+26.2%</t>
  </si>
  <si>
    <t>-3.8%</t>
  </si>
  <si>
    <t>-2.0%</t>
  </si>
  <si>
    <t>2025-12-17</t>
  </si>
  <si>
    <t>+18.6%</t>
  </si>
  <si>
    <t>+18.4%</t>
  </si>
  <si>
    <t>+12.2%</t>
  </si>
  <si>
    <t>2025-12-18</t>
  </si>
  <si>
    <t>-16.4%</t>
  </si>
  <si>
    <t>-17.7%</t>
  </si>
  <si>
    <t>2025-12-19</t>
  </si>
  <si>
    <t>-12.7%</t>
  </si>
  <si>
    <t>-7.7%</t>
  </si>
  <si>
    <t>-6.1%</t>
  </si>
  <si>
    <t>2025-12-20</t>
  </si>
  <si>
    <t>+2.0%</t>
  </si>
  <si>
    <t>-21.3%</t>
  </si>
  <si>
    <t>2025-12-21</t>
  </si>
  <si>
    <t>-11.5%</t>
  </si>
  <si>
    <t>-11.8%</t>
  </si>
  <si>
    <t>-29.1%</t>
  </si>
  <si>
    <t>+6.8%</t>
  </si>
  <si>
    <t>2025-12-22</t>
  </si>
  <si>
    <t>+36.1%</t>
  </si>
  <si>
    <t>+36.0%</t>
  </si>
  <si>
    <t>+27.0%</t>
  </si>
  <si>
    <t>+42.2%</t>
  </si>
  <si>
    <t>+17.8%</t>
  </si>
  <si>
    <t>2025-12-23</t>
  </si>
  <si>
    <t>-4.0%</t>
  </si>
  <si>
    <t>+27.7%</t>
  </si>
  <si>
    <t>2025-12-24</t>
  </si>
  <si>
    <t>+9.3%</t>
  </si>
  <si>
    <t>+9.5%</t>
  </si>
  <si>
    <t>2025-12-25</t>
  </si>
  <si>
    <t>-34.6%</t>
  </si>
  <si>
    <t>-34.7%</t>
  </si>
  <si>
    <t>-38.5%</t>
  </si>
  <si>
    <t>-20.3%</t>
  </si>
  <si>
    <t>2025-12-26</t>
  </si>
  <si>
    <t>+19.7%</t>
  </si>
  <si>
    <t>+4.8%</t>
  </si>
  <si>
    <t>+23.1%</t>
  </si>
  <si>
    <t>+7.0%</t>
  </si>
  <si>
    <t>2025-12-27</t>
  </si>
  <si>
    <t>0%</t>
  </si>
  <si>
    <t>-11.2%</t>
  </si>
  <si>
    <t>2025-12-28</t>
  </si>
  <si>
    <t>-14.9%</t>
  </si>
  <si>
    <t>-34.9%</t>
  </si>
  <si>
    <t>+3.8%</t>
  </si>
  <si>
    <t>2025-12-29</t>
  </si>
  <si>
    <t>+26.1%</t>
  </si>
  <si>
    <t>+34.1%</t>
  </si>
  <si>
    <t>+12.1%</t>
  </si>
  <si>
    <t>2025-12-30</t>
  </si>
  <si>
    <t>+14.5%</t>
  </si>
  <si>
    <t>2025-12-31</t>
  </si>
  <si>
    <t>+6.9%</t>
  </si>
  <si>
    <t>2026-01-01</t>
  </si>
  <si>
    <t>-10.8%</t>
  </si>
  <si>
    <t>-28.2%</t>
  </si>
  <si>
    <t>-9.3%</t>
  </si>
  <si>
    <t>2026-01-02</t>
  </si>
  <si>
    <t>+14.9%</t>
  </si>
  <si>
    <t>2026-01-03</t>
  </si>
  <si>
    <t>+12.3%</t>
  </si>
  <si>
    <t>-16.8%</t>
  </si>
  <si>
    <t>-8.4%</t>
  </si>
  <si>
    <t>2026-01-04</t>
  </si>
  <si>
    <t>-15.4%</t>
  </si>
  <si>
    <t>-15.6%</t>
  </si>
  <si>
    <t>-23.0%</t>
  </si>
  <si>
    <t>+1.3%</t>
  </si>
  <si>
    <t>+1.8%</t>
  </si>
  <si>
    <t>2026-01-05</t>
  </si>
  <si>
    <t>-9.0%</t>
  </si>
  <si>
    <t>2026-01-06</t>
  </si>
  <si>
    <t>-4.5%</t>
  </si>
  <si>
    <t>2026-01-07</t>
  </si>
  <si>
    <t>-19.5%</t>
  </si>
  <si>
    <t>-27.5%</t>
  </si>
  <si>
    <t>2026-01-08</t>
  </si>
  <si>
    <t>+23.5%</t>
  </si>
  <si>
    <t>+25.1%</t>
  </si>
  <si>
    <t>-2.7%</t>
  </si>
  <si>
    <t>2026-01-09</t>
  </si>
  <si>
    <t>-7.6%</t>
  </si>
  <si>
    <t>-5.6%</t>
  </si>
  <si>
    <t>2026-01-10</t>
  </si>
  <si>
    <t>+18.2%</t>
  </si>
  <si>
    <t>+8.1%</t>
  </si>
  <si>
    <t>2026-01-11</t>
  </si>
  <si>
    <t>-12.4%</t>
  </si>
  <si>
    <t>-25.9%</t>
  </si>
  <si>
    <t>+3.5%</t>
  </si>
  <si>
    <t>2026-01-12</t>
  </si>
  <si>
    <t>+31.4%</t>
  </si>
  <si>
    <t>+16.1%</t>
  </si>
  <si>
    <t>2026-01-13</t>
  </si>
  <si>
    <t>+21.4%</t>
  </si>
  <si>
    <t>2026-01-14</t>
  </si>
  <si>
    <t>-19.7%</t>
  </si>
  <si>
    <t>-19.8%</t>
  </si>
  <si>
    <t>-25.7%</t>
  </si>
  <si>
    <t>2025-11-15</t>
  </si>
  <si>
    <t>+31.9%</t>
  </si>
  <si>
    <t>+31.7%</t>
  </si>
  <si>
    <t>-17.1%</t>
  </si>
  <si>
    <t>-7.0%</t>
  </si>
  <si>
    <t>2025-11-16</t>
  </si>
  <si>
    <t>+29.7%</t>
  </si>
  <si>
    <t>+6.2%</t>
  </si>
  <si>
    <t>2025-11-17</t>
  </si>
  <si>
    <t>-8.3%</t>
  </si>
  <si>
    <t>+40.8%</t>
  </si>
  <si>
    <t>+18.3%</t>
  </si>
  <si>
    <t>2025-11-18</t>
  </si>
  <si>
    <t>-3.0%</t>
  </si>
  <si>
    <t>+24.8%</t>
  </si>
  <si>
    <t>-0.6%</t>
  </si>
  <si>
    <t>2025-11-19</t>
  </si>
  <si>
    <t>-1.6%</t>
  </si>
  <si>
    <t>2025-11-20</t>
  </si>
  <si>
    <t>-0.8%</t>
  </si>
  <si>
    <t>2025-11-21</t>
  </si>
  <si>
    <t>-28.5%</t>
  </si>
  <si>
    <t>-28.4%</t>
  </si>
  <si>
    <t>-18.7%</t>
  </si>
  <si>
    <t>-9.1%</t>
  </si>
  <si>
    <t>2025-11-22</t>
  </si>
  <si>
    <t>+26.6%</t>
  </si>
  <si>
    <t>+25.8%</t>
  </si>
  <si>
    <t>-9.6%</t>
  </si>
  <si>
    <t>2025-11-23</t>
  </si>
  <si>
    <t>+29.1%</t>
  </si>
  <si>
    <t>+28.6%</t>
  </si>
  <si>
    <t>2025-11-24</t>
  </si>
  <si>
    <t>+40.2%</t>
  </si>
  <si>
    <t>+14.6%</t>
  </si>
  <si>
    <t>2025-11-25</t>
  </si>
  <si>
    <t>+22.3%</t>
  </si>
  <si>
    <t>2025-11-26</t>
  </si>
  <si>
    <t>-4.4%</t>
  </si>
  <si>
    <t>2025-11-27</t>
  </si>
  <si>
    <t>-7.5%</t>
  </si>
  <si>
    <t>-1.1%</t>
  </si>
  <si>
    <t>2025-11-28</t>
  </si>
  <si>
    <t>-22.9%</t>
  </si>
  <si>
    <t>-9.5%</t>
  </si>
  <si>
    <t>2025-11-29</t>
  </si>
  <si>
    <t>+23.7%</t>
  </si>
  <si>
    <t>+19.3%</t>
  </si>
  <si>
    <t>-22.7%</t>
  </si>
  <si>
    <t>-11.4%</t>
  </si>
  <si>
    <t>2025-11-30</t>
  </si>
  <si>
    <t>1.3</t>
  </si>
  <si>
    <t>+24.0%</t>
  </si>
  <si>
    <t>+8.6%</t>
  </si>
  <si>
    <t>2025-12-01</t>
  </si>
  <si>
    <t>+49.5%</t>
  </si>
  <si>
    <t>+21.5%</t>
  </si>
  <si>
    <t>2025-12-02</t>
  </si>
  <si>
    <t>+25.3%</t>
  </si>
  <si>
    <t>2025-12-03</t>
  </si>
  <si>
    <t>+21.6%</t>
  </si>
  <si>
    <t>+11.7%</t>
  </si>
  <si>
    <t>2025-12-04</t>
  </si>
  <si>
    <t>-20.4%</t>
  </si>
  <si>
    <t>2025-12-05</t>
  </si>
  <si>
    <t>-11.3%</t>
  </si>
  <si>
    <t>2025-12-06</t>
  </si>
  <si>
    <t>-25.4%</t>
  </si>
  <si>
    <t>-11.9%</t>
  </si>
  <si>
    <t>2025-12-07</t>
  </si>
  <si>
    <t>-15.1%</t>
  </si>
  <si>
    <t>-26.3%</t>
  </si>
  <si>
    <t>+3.6%</t>
  </si>
  <si>
    <t>2025-12-08</t>
  </si>
  <si>
    <t>+34.9%</t>
  </si>
  <si>
    <t>+34.8%</t>
  </si>
  <si>
    <t>+44.9%</t>
  </si>
  <si>
    <t>2025-12-09</t>
  </si>
  <si>
    <t>2025-12-10</t>
  </si>
  <si>
    <t>+28.2%</t>
  </si>
  <si>
    <t>+27.8%</t>
  </si>
  <si>
    <t>+7.7%</t>
  </si>
  <si>
    <t>+2.5%</t>
  </si>
  <si>
    <t>2025-12-11</t>
  </si>
  <si>
    <t>-18.5%</t>
  </si>
  <si>
    <t>2025-12-12</t>
  </si>
  <si>
    <t>-7.1%</t>
  </si>
  <si>
    <t>-8.9%</t>
  </si>
  <si>
    <t>2025-12-13</t>
  </si>
  <si>
    <t>-24.5%</t>
  </si>
  <si>
    <t>-10.7%</t>
  </si>
  <si>
    <t>2025-12-14</t>
  </si>
  <si>
    <t>-31.6%</t>
  </si>
  <si>
    <t>+5.6%</t>
  </si>
  <si>
    <t>2025-10-15</t>
  </si>
  <si>
    <t>+25.0%</t>
  </si>
  <si>
    <t>+11.6%</t>
  </si>
  <si>
    <t>2025-10-16</t>
  </si>
  <si>
    <t>2025-10-17</t>
  </si>
  <si>
    <t>+13.7%</t>
  </si>
  <si>
    <t>-9.7%</t>
  </si>
  <si>
    <t>2025-10-18</t>
  </si>
  <si>
    <t>-26.6%</t>
  </si>
  <si>
    <t>-26.7%</t>
  </si>
  <si>
    <t>-28.7%</t>
  </si>
  <si>
    <t>-10.3%</t>
  </si>
  <si>
    <t>2025-10-19</t>
  </si>
  <si>
    <t>-17.9%</t>
  </si>
  <si>
    <t>+6.3%</t>
  </si>
  <si>
    <t>2025-10-20</t>
  </si>
  <si>
    <t>+25.7%</t>
  </si>
  <si>
    <t>+43.3%</t>
  </si>
  <si>
    <t>+20.9%</t>
  </si>
  <si>
    <t>2025-10-21</t>
  </si>
  <si>
    <t>-26.8%</t>
  </si>
  <si>
    <t>-26.5%</t>
  </si>
  <si>
    <t>-3.3%</t>
  </si>
  <si>
    <t>2025-10-22</t>
  </si>
  <si>
    <t>2025-10-23</t>
  </si>
  <si>
    <t>2025-10-24</t>
  </si>
  <si>
    <t>+21.9%</t>
  </si>
  <si>
    <t>+21.8%</t>
  </si>
  <si>
    <t>2025-10-25</t>
  </si>
  <si>
    <t>-27.0%</t>
  </si>
  <si>
    <t>2025-10-26</t>
  </si>
  <si>
    <t>+10.0%</t>
  </si>
  <si>
    <t>+9.6%</t>
  </si>
  <si>
    <t>2025-10-27</t>
  </si>
  <si>
    <t>+23.9%</t>
  </si>
  <si>
    <t>+23.8%</t>
  </si>
  <si>
    <t>+22.4%</t>
  </si>
  <si>
    <t>+45.2%</t>
  </si>
  <si>
    <t>2025-10-28</t>
  </si>
  <si>
    <t>-5.5%</t>
  </si>
  <si>
    <t>2025-10-29</t>
  </si>
  <si>
    <t>+23.6%</t>
  </si>
  <si>
    <t>2025-10-30</t>
  </si>
  <si>
    <t>2025-10-31</t>
  </si>
  <si>
    <t>+19.6%</t>
  </si>
  <si>
    <t>+27.1%</t>
  </si>
  <si>
    <t>-13.1%</t>
  </si>
  <si>
    <t>-9.9%</t>
  </si>
  <si>
    <t>2025-11-01</t>
  </si>
  <si>
    <t>+8.9%</t>
  </si>
  <si>
    <t>2025-11-02</t>
  </si>
  <si>
    <t>+18.5%</t>
  </si>
  <si>
    <t>+4.9%</t>
  </si>
  <si>
    <t>2025-11-03</t>
  </si>
  <si>
    <t>-16.2%</t>
  </si>
  <si>
    <t>+39.4%</t>
  </si>
  <si>
    <t>+18.0%</t>
  </si>
  <si>
    <t>2025-11-04</t>
  </si>
  <si>
    <t>+31.8%</t>
  </si>
  <si>
    <t>-6.5%</t>
  </si>
  <si>
    <t>2025-11-05</t>
  </si>
  <si>
    <t>2025-11-06</t>
  </si>
  <si>
    <t>-9.4%</t>
  </si>
  <si>
    <t>2025-11-07</t>
  </si>
  <si>
    <t>2025-11-08</t>
  </si>
  <si>
    <t>-18.4%</t>
  </si>
  <si>
    <t>2025-11-09</t>
  </si>
  <si>
    <t>+25.2%</t>
  </si>
  <si>
    <t>+3.7%</t>
  </si>
  <si>
    <t>+5.3%</t>
  </si>
  <si>
    <t>2025-11-10</t>
  </si>
  <si>
    <t>+50.8%</t>
  </si>
  <si>
    <t>+24.9%</t>
  </si>
  <si>
    <t>2025-11-11</t>
  </si>
  <si>
    <t>-12.1%</t>
  </si>
  <si>
    <t>+24.5%</t>
  </si>
  <si>
    <t>2025-11-12</t>
  </si>
  <si>
    <t>2025-11-13</t>
  </si>
  <si>
    <t>-6.2%</t>
  </si>
  <si>
    <t>2025-11-14</t>
  </si>
  <si>
    <t>-26.4%</t>
  </si>
  <si>
    <t>2025-09-15</t>
  </si>
  <si>
    <t>+33.7%</t>
  </si>
  <si>
    <t>+33.5%</t>
  </si>
  <si>
    <t>+25.6%</t>
  </si>
  <si>
    <t>+17.7%</t>
  </si>
  <si>
    <t>2025-09-16</t>
  </si>
  <si>
    <t>+47.1%</t>
  </si>
  <si>
    <t>2025-09-17</t>
  </si>
  <si>
    <t>-23.2%</t>
  </si>
  <si>
    <t>2025-09-18</t>
  </si>
  <si>
    <t>2025-09-19</t>
  </si>
  <si>
    <t>2025-09-20</t>
  </si>
  <si>
    <t>2025-09-21</t>
  </si>
  <si>
    <t>-13.9%</t>
  </si>
  <si>
    <t>-32.4%</t>
  </si>
  <si>
    <t>+6.0%</t>
  </si>
  <si>
    <t>+5.1%</t>
  </si>
  <si>
    <t>2025-09-22</t>
  </si>
  <si>
    <t>+38.4%</t>
  </si>
  <si>
    <t>+38.5%</t>
  </si>
  <si>
    <t>+48.6%</t>
  </si>
  <si>
    <t>+15.5%</t>
  </si>
  <si>
    <t>2025-09-23</t>
  </si>
  <si>
    <t>+22.2%</t>
  </si>
  <si>
    <t>+22.5%</t>
  </si>
  <si>
    <t>+46.9%</t>
  </si>
  <si>
    <t>2025-09-24</t>
  </si>
  <si>
    <t>-22.5%</t>
  </si>
  <si>
    <t>-22.6%</t>
  </si>
  <si>
    <t>-28.9%</t>
  </si>
  <si>
    <t>2025-09-25</t>
  </si>
  <si>
    <t>2025-09-26</t>
  </si>
  <si>
    <t>-8.7%</t>
  </si>
  <si>
    <t>2025-09-27</t>
  </si>
  <si>
    <t>-23.1%</t>
  </si>
  <si>
    <t>2025-09-28</t>
  </si>
  <si>
    <t>2025-09-29</t>
  </si>
  <si>
    <t>+45.6%</t>
  </si>
  <si>
    <t>+45.7%</t>
  </si>
  <si>
    <t>+54.6%</t>
  </si>
  <si>
    <t>+41.7%</t>
  </si>
  <si>
    <t>+24.6%</t>
  </si>
  <si>
    <t>2025-09-30</t>
  </si>
  <si>
    <t>+18.1%</t>
  </si>
  <si>
    <t>+40.6%</t>
  </si>
  <si>
    <t>2025-10-01</t>
  </si>
  <si>
    <t>2025-10-02</t>
  </si>
  <si>
    <t>-21.0%</t>
  </si>
  <si>
    <t>-20.7%</t>
  </si>
  <si>
    <t>-17.3%</t>
  </si>
  <si>
    <t>-12.9%</t>
  </si>
  <si>
    <t>2025-10-03</t>
  </si>
  <si>
    <t>+11.2%</t>
  </si>
  <si>
    <t>+11.1%</t>
  </si>
  <si>
    <t>2025-10-04</t>
  </si>
  <si>
    <t>-21.6%</t>
  </si>
  <si>
    <t>-21.5%</t>
  </si>
  <si>
    <t>-13.0%</t>
  </si>
  <si>
    <t>-11.1%</t>
  </si>
  <si>
    <t>2025-10-05</t>
  </si>
  <si>
    <t>-16.3%</t>
  </si>
  <si>
    <t>-13.8%</t>
  </si>
  <si>
    <t>2025-10-06</t>
  </si>
  <si>
    <t>-22.8%</t>
  </si>
  <si>
    <t>2025-10-07</t>
  </si>
  <si>
    <t>-13.7%</t>
  </si>
  <si>
    <t>2025-10-08</t>
  </si>
  <si>
    <t>+39.1%</t>
  </si>
  <si>
    <t>+9.2%</t>
  </si>
  <si>
    <t>2025-10-09</t>
  </si>
  <si>
    <t>+11.8%</t>
  </si>
  <si>
    <t>+11.4%</t>
  </si>
  <si>
    <t>+10.4%</t>
  </si>
  <si>
    <t>2025-10-10</t>
  </si>
  <si>
    <t>+66.3%</t>
  </si>
  <si>
    <t>+66.5%</t>
  </si>
  <si>
    <t>+75.7%</t>
  </si>
  <si>
    <t>2025-10-11</t>
  </si>
  <si>
    <t>-25.1%</t>
  </si>
  <si>
    <t>-24.9%</t>
  </si>
  <si>
    <t>-10.9%</t>
  </si>
  <si>
    <t>2025-10-12</t>
  </si>
  <si>
    <t>2025-10-13</t>
  </si>
  <si>
    <t>+20.1%</t>
  </si>
  <si>
    <t>+20.2%</t>
  </si>
  <si>
    <t>+38.6%</t>
  </si>
  <si>
    <t>2025-10-14</t>
  </si>
  <si>
    <t>2025-08-15</t>
  </si>
  <si>
    <t>+14.1%</t>
  </si>
  <si>
    <t>+14.0%</t>
  </si>
  <si>
    <t>+10.1%</t>
  </si>
  <si>
    <t>2025-08-16</t>
  </si>
  <si>
    <t>+7.3%</t>
  </si>
  <si>
    <t>+7.2%</t>
  </si>
  <si>
    <t>2025-08-17</t>
  </si>
  <si>
    <t>2025-08-18</t>
  </si>
  <si>
    <t>-17.4%</t>
  </si>
  <si>
    <t>+32.3%</t>
  </si>
  <si>
    <t>2025-08-19</t>
  </si>
  <si>
    <t>2025-08-20</t>
  </si>
  <si>
    <t>2025-08-21</t>
  </si>
  <si>
    <t>-18.9%</t>
  </si>
  <si>
    <t>2025-08-22</t>
  </si>
  <si>
    <t>+19.2%</t>
  </si>
  <si>
    <t>2025-08-23</t>
  </si>
  <si>
    <t>-18.2%</t>
  </si>
  <si>
    <t>2025-08-24</t>
  </si>
  <si>
    <t>+35.7%</t>
  </si>
  <si>
    <t>2025-08-25</t>
  </si>
  <si>
    <t>+35.5%</t>
  </si>
  <si>
    <t>2025-08-26</t>
  </si>
  <si>
    <t>2025-08-27</t>
  </si>
  <si>
    <t>2025-08-28</t>
  </si>
  <si>
    <t>-18.1%</t>
  </si>
  <si>
    <t>2025-08-29</t>
  </si>
  <si>
    <t>+27.5%</t>
  </si>
  <si>
    <t>2025-08-30</t>
  </si>
  <si>
    <t>2025-08-31</t>
  </si>
  <si>
    <t>+36.8%</t>
  </si>
  <si>
    <t>+36.4%</t>
  </si>
  <si>
    <t>+8.7%</t>
  </si>
  <si>
    <t>2025-09-01</t>
  </si>
  <si>
    <t>+54.5%</t>
  </si>
  <si>
    <t>2025-09-02</t>
  </si>
  <si>
    <t>+11.3%</t>
  </si>
  <si>
    <t>+50.3%</t>
  </si>
  <si>
    <t>2025-09-03</t>
  </si>
  <si>
    <t>-28.0%</t>
  </si>
  <si>
    <t>2025-09-04</t>
  </si>
  <si>
    <t>2025-09-05</t>
  </si>
  <si>
    <t>2025-09-06</t>
  </si>
  <si>
    <t>2025-09-07</t>
  </si>
  <si>
    <t>-13.4%</t>
  </si>
  <si>
    <t>-28.6%</t>
  </si>
  <si>
    <t>+5.2%</t>
  </si>
  <si>
    <t>2025-09-08</t>
  </si>
  <si>
    <t>+28.7%</t>
  </si>
  <si>
    <t>+26.4%</t>
  </si>
  <si>
    <t>+16.3%</t>
  </si>
  <si>
    <t>2025-09-09</t>
  </si>
  <si>
    <t>+60.8%</t>
  </si>
  <si>
    <t>2025-09-10</t>
  </si>
  <si>
    <t>+1.6%</t>
  </si>
  <si>
    <t>2025-09-11</t>
  </si>
  <si>
    <t>2025-09-12</t>
  </si>
  <si>
    <t>+10.7%</t>
  </si>
  <si>
    <t>+11.5%</t>
  </si>
  <si>
    <t>+58.8%</t>
  </si>
  <si>
    <t>2025-09-13</t>
  </si>
  <si>
    <t>-31.4%</t>
  </si>
  <si>
    <t>2025-09-14</t>
  </si>
  <si>
    <t>2025-07-15</t>
  </si>
  <si>
    <t>+61.8%</t>
  </si>
  <si>
    <t>2025-07-16</t>
  </si>
  <si>
    <t>-23.3%</t>
  </si>
  <si>
    <t>2025-07-17</t>
  </si>
  <si>
    <t>+22.8%</t>
  </si>
  <si>
    <t>2025-07-18</t>
  </si>
  <si>
    <t>-24.7%</t>
  </si>
  <si>
    <t>2025-07-19</t>
  </si>
  <si>
    <t>+2.2%</t>
  </si>
  <si>
    <t>2025-07-20</t>
  </si>
  <si>
    <t>2025-07-21</t>
  </si>
  <si>
    <t>-18.0%</t>
  </si>
  <si>
    <t>+28.0%</t>
  </si>
  <si>
    <t>+15.1%</t>
  </si>
  <si>
    <t>2025-07-22</t>
  </si>
  <si>
    <t>+47.9%</t>
  </si>
  <si>
    <t>2025-07-23</t>
  </si>
  <si>
    <t>2025-07-24</t>
  </si>
  <si>
    <t>+24.7%</t>
  </si>
  <si>
    <t>+26.8%</t>
  </si>
  <si>
    <t>2025-07-25</t>
  </si>
  <si>
    <t>-20.8%</t>
  </si>
  <si>
    <t>2025-07-26</t>
  </si>
  <si>
    <t>-17.5%</t>
  </si>
  <si>
    <t>2025-07-27</t>
  </si>
  <si>
    <t>+8.3%</t>
  </si>
  <si>
    <t>2025-07-28</t>
  </si>
  <si>
    <t>2025-07-29</t>
  </si>
  <si>
    <t>+48.9%</t>
  </si>
  <si>
    <t>2025-07-30</t>
  </si>
  <si>
    <t>2025-07-31</t>
  </si>
  <si>
    <t>+27.3%</t>
  </si>
  <si>
    <t>+28.9%</t>
  </si>
  <si>
    <t>2025-08-01</t>
  </si>
  <si>
    <t>2025-08-02</t>
  </si>
  <si>
    <t>-10.2%</t>
  </si>
  <si>
    <t>2025-08-03</t>
  </si>
  <si>
    <t>2025-08-04</t>
  </si>
  <si>
    <t>2025-08-05</t>
  </si>
  <si>
    <t>+13.1%</t>
  </si>
  <si>
    <t>2025-08-06</t>
  </si>
  <si>
    <t>2025-08-07</t>
  </si>
  <si>
    <t>2025-08-08</t>
  </si>
  <si>
    <t>+21.0%</t>
  </si>
  <si>
    <t>+23.3%</t>
  </si>
  <si>
    <t>2025-08-09</t>
  </si>
  <si>
    <t>-15.9%</t>
  </si>
  <si>
    <t>2025-08-10</t>
  </si>
  <si>
    <t>+34.3%</t>
  </si>
  <si>
    <t>2025-08-11</t>
  </si>
  <si>
    <t>+17.3%</t>
  </si>
  <si>
    <t>2025-08-12</t>
  </si>
  <si>
    <t>2025-08-13</t>
  </si>
  <si>
    <t>2025-08-14</t>
  </si>
  <si>
    <t>2025-07-01</t>
  </si>
  <si>
    <t>2025-07-02</t>
  </si>
  <si>
    <t>2025-07-03</t>
  </si>
  <si>
    <t>+22.6%</t>
  </si>
  <si>
    <t>2025-07-04</t>
  </si>
  <si>
    <t>-29.7%</t>
  </si>
  <si>
    <t>-29.6%</t>
  </si>
  <si>
    <t>-22.3%</t>
  </si>
  <si>
    <t>2025-07-05</t>
  </si>
  <si>
    <t>-16.7%</t>
  </si>
  <si>
    <t>2025-07-06</t>
  </si>
  <si>
    <t>+7.9%</t>
  </si>
  <si>
    <t>2025-07-07</t>
  </si>
  <si>
    <t>2025-07-08</t>
  </si>
  <si>
    <t>+65.7%</t>
  </si>
  <si>
    <t>2025-07-09</t>
  </si>
  <si>
    <t>2025-07-10</t>
  </si>
  <si>
    <t>2025-07-11</t>
  </si>
  <si>
    <t>-28.3%</t>
  </si>
  <si>
    <t>-22.0%</t>
  </si>
  <si>
    <t>2025-07-12</t>
  </si>
  <si>
    <t>2025-07-13</t>
  </si>
  <si>
    <t>2025-07-14</t>
  </si>
  <si>
    <t>-18.3%</t>
  </si>
  <si>
    <t>+16.0%</t>
  </si>
  <si>
    <t>WoW</t>
    <phoneticPr fontId="20" type="noConversion"/>
  </si>
  <si>
    <t>2026-03-16</t>
  </si>
  <si>
    <t>+37.4%</t>
  </si>
  <si>
    <t>+37.5%</t>
  </si>
  <si>
    <t>+42.4%</t>
  </si>
  <si>
    <t>+35.4%</t>
  </si>
  <si>
    <t>2026-03-17</t>
  </si>
  <si>
    <t>2026-03-18</t>
  </si>
  <si>
    <t>2026-03-19</t>
  </si>
  <si>
    <t>2026-03-20</t>
  </si>
  <si>
    <t>2026-03-21</t>
  </si>
  <si>
    <t>-23.4%</t>
  </si>
  <si>
    <t>-16.9%</t>
  </si>
  <si>
    <t>2026-03-22</t>
  </si>
  <si>
    <t>2026-03-23</t>
  </si>
  <si>
    <t>+33.0%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</si>
</sst>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&quot;₩&quot;* #,##0_);_(&quot;₩&quot;* \(#,##0\);_(&quot;₩&quot;* &quot;-&quot;_);_(@_)"/>
    <numFmt numFmtId="177" formatCode="#,##0.0"/>
  </numFmts>
  <fonts count="22" x14ac:knownFonts="1">
    <font>
      <sz val="11"/>
      <color indexed="8"/>
      <name val="맑은 고딕"/>
      <family val="2"/>
      <scheme val="minor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BF99"/>
      <name val="Arial"/>
      <family val="2"/>
    </font>
    <font>
      <sz val="8"/>
      <color rgb="FFFF788E"/>
      <name val="Arial"/>
      <family val="2"/>
    </font>
    <font>
      <sz val="8"/>
      <color rgb="FF00BF99"/>
      <name val="Arial"/>
      <family val="2"/>
    </font>
    <font>
      <sz val="8"/>
      <color rgb="FFFF788E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BE3EF"/>
      </patternFill>
    </fill>
    <fill>
      <patternFill patternType="solid">
        <fgColor rgb="FFC6D5EA"/>
      </patternFill>
    </fill>
    <fill>
      <patternFill patternType="solid">
        <fgColor rgb="FFCBDFB8"/>
      </patternFill>
    </fill>
    <fill>
      <patternFill patternType="solid">
        <fgColor rgb="FFF1CDB1"/>
      </patternFill>
    </fill>
    <fill>
      <patternFill patternType="solid">
        <fgColor rgb="FFF2F2F2"/>
      </patternFill>
    </fill>
    <fill>
      <patternFill patternType="solid">
        <fgColor rgb="FF0099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176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right" vertical="center"/>
    </xf>
    <xf numFmtId="177" fontId="8" fillId="7" borderId="3" xfId="0" applyNumberFormat="1" applyFont="1" applyFill="1" applyBorder="1" applyAlignment="1">
      <alignment horizontal="right" vertical="center"/>
    </xf>
    <xf numFmtId="0" fontId="9" fillId="7" borderId="3" xfId="0" applyFont="1" applyFill="1" applyBorder="1" applyAlignment="1">
      <alignment horizontal="center" vertical="center"/>
    </xf>
    <xf numFmtId="177" fontId="12" fillId="7" borderId="3" xfId="0" applyNumberFormat="1" applyFont="1" applyFill="1" applyBorder="1" applyAlignment="1">
      <alignment horizontal="right" vertical="center"/>
    </xf>
    <xf numFmtId="177" fontId="13" fillId="7" borderId="3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3" fontId="3" fillId="7" borderId="3" xfId="0" applyNumberFormat="1" applyFont="1" applyFill="1" applyBorder="1" applyAlignment="1">
      <alignment horizontal="right" vertical="center"/>
    </xf>
    <xf numFmtId="177" fontId="3" fillId="7" borderId="3" xfId="0" applyNumberFormat="1" applyFont="1" applyFill="1" applyBorder="1" applyAlignment="1">
      <alignment horizontal="right" vertical="center"/>
    </xf>
    <xf numFmtId="177" fontId="11" fillId="7" borderId="3" xfId="0" applyNumberFormat="1" applyFont="1" applyFill="1" applyBorder="1" applyAlignment="1">
      <alignment horizontal="right" vertical="center"/>
    </xf>
    <xf numFmtId="177" fontId="10" fillId="7" borderId="3" xfId="0" applyNumberFormat="1" applyFont="1" applyFill="1" applyBorder="1" applyAlignment="1">
      <alignment horizontal="right" vertical="center"/>
    </xf>
    <xf numFmtId="176" fontId="3" fillId="7" borderId="3" xfId="1" applyFont="1" applyFill="1" applyBorder="1" applyAlignment="1">
      <alignment horizontal="right" vertical="center"/>
    </xf>
    <xf numFmtId="10" fontId="0" fillId="0" borderId="0" xfId="0" applyNumberFormat="1">
      <alignment vertical="center"/>
    </xf>
    <xf numFmtId="10" fontId="4" fillId="4" borderId="2" xfId="0" applyNumberFormat="1" applyFont="1" applyFill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</cellXfs>
  <cellStyles count="3">
    <cellStyle name="백분율" xfId="2" builtinId="5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"/>
  <sheetViews>
    <sheetView tabSelected="1" topLeftCell="A261" workbookViewId="0">
      <selection activeCell="F273" sqref="F273"/>
    </sheetView>
  </sheetViews>
  <sheetFormatPr defaultColWidth="8.796875" defaultRowHeight="22.05" customHeight="1" x14ac:dyDescent="0.4"/>
  <cols>
    <col min="1" max="15" width="15.796875" customWidth="1"/>
    <col min="16" max="16" width="11" style="18" bestFit="1" customWidth="1"/>
    <col min="17" max="17" width="9.19921875" style="18" bestFit="1" customWidth="1"/>
    <col min="18" max="18" width="9.69921875" style="18" bestFit="1" customWidth="1"/>
  </cols>
  <sheetData>
    <row r="1" spans="1:18" ht="17.399999999999999" x14ac:dyDescent="0.4">
      <c r="A1" s="9" t="s">
        <v>0</v>
      </c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399999999999999" x14ac:dyDescent="0.4">
      <c r="A2" s="10" t="s">
        <v>2</v>
      </c>
      <c r="B2" s="10" t="s">
        <v>3</v>
      </c>
      <c r="C2" s="10" t="s">
        <v>4</v>
      </c>
      <c r="D2" s="11" t="s">
        <v>5</v>
      </c>
    </row>
    <row r="3" spans="1:18" ht="17.399999999999999" x14ac:dyDescent="0.4">
      <c r="A3" s="21" t="s">
        <v>6</v>
      </c>
      <c r="B3" s="24" t="s">
        <v>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399999999999999" x14ac:dyDescent="0.4">
      <c r="A4" s="21"/>
      <c r="B4" s="22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 t="s">
        <v>815</v>
      </c>
      <c r="Q4" s="23"/>
      <c r="R4" s="23"/>
    </row>
    <row r="5" spans="1:18" ht="17.399999999999999" x14ac:dyDescent="0.4">
      <c r="A5" s="21"/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19" t="s">
        <v>8</v>
      </c>
      <c r="Q5" s="19" t="s">
        <v>11</v>
      </c>
      <c r="R5" s="19" t="s">
        <v>12</v>
      </c>
    </row>
    <row r="6" spans="1:18" ht="17.399999999999999" x14ac:dyDescent="0.4">
      <c r="A6" s="12" t="s">
        <v>790</v>
      </c>
      <c r="B6" s="13">
        <v>233272307229</v>
      </c>
      <c r="C6" s="13">
        <v>236544618143</v>
      </c>
      <c r="D6" s="13">
        <v>3272310914</v>
      </c>
      <c r="E6" s="13">
        <v>7644884</v>
      </c>
      <c r="F6" s="13">
        <v>4834342</v>
      </c>
      <c r="G6" s="13">
        <v>48930</v>
      </c>
      <c r="H6" s="13">
        <v>30942</v>
      </c>
      <c r="I6" s="14" t="s">
        <v>95</v>
      </c>
      <c r="J6" s="14" t="s">
        <v>24</v>
      </c>
      <c r="K6" s="16" t="s">
        <v>269</v>
      </c>
      <c r="L6" s="16" t="s">
        <v>100</v>
      </c>
      <c r="M6" s="15" t="s">
        <v>552</v>
      </c>
      <c r="N6" s="15" t="s">
        <v>76</v>
      </c>
      <c r="O6" s="15" t="s">
        <v>74</v>
      </c>
      <c r="P6" s="20" t="e">
        <f>(B6-#REF!)/#REF!</f>
        <v>#REF!</v>
      </c>
      <c r="Q6" s="20" t="e">
        <f>(E6-#REF!)/#REF!</f>
        <v>#REF!</v>
      </c>
      <c r="R6" s="20" t="e">
        <f>(F6-#REF!)/#REF!</f>
        <v>#REF!</v>
      </c>
    </row>
    <row r="7" spans="1:18" ht="17.399999999999999" x14ac:dyDescent="0.4">
      <c r="A7" s="12" t="s">
        <v>791</v>
      </c>
      <c r="B7" s="13">
        <v>213001295250</v>
      </c>
      <c r="C7" s="13">
        <v>216107162627</v>
      </c>
      <c r="D7" s="13">
        <v>3105867377</v>
      </c>
      <c r="E7" s="13">
        <v>7430041</v>
      </c>
      <c r="F7" s="13">
        <v>4751862</v>
      </c>
      <c r="G7" s="13">
        <v>45478</v>
      </c>
      <c r="H7" s="13">
        <v>29086</v>
      </c>
      <c r="I7" s="14" t="s">
        <v>95</v>
      </c>
      <c r="J7" s="14" t="s">
        <v>24</v>
      </c>
      <c r="K7" s="16" t="s">
        <v>616</v>
      </c>
      <c r="L7" s="16" t="s">
        <v>33</v>
      </c>
      <c r="M7" s="16" t="s">
        <v>122</v>
      </c>
      <c r="N7" s="16" t="s">
        <v>250</v>
      </c>
      <c r="O7" s="16" t="s">
        <v>97</v>
      </c>
      <c r="P7" s="20" t="e">
        <f>(B7-#REF!)/#REF!</f>
        <v>#REF!</v>
      </c>
      <c r="Q7" s="20" t="e">
        <f>(E7-#REF!)/#REF!</f>
        <v>#REF!</v>
      </c>
      <c r="R7" s="20" t="e">
        <f>(F7-#REF!)/#REF!</f>
        <v>#REF!</v>
      </c>
    </row>
    <row r="8" spans="1:18" ht="17.399999999999999" x14ac:dyDescent="0.4">
      <c r="A8" s="12" t="s">
        <v>792</v>
      </c>
      <c r="B8" s="13">
        <v>260852807687</v>
      </c>
      <c r="C8" s="13">
        <v>264855525389</v>
      </c>
      <c r="D8" s="13">
        <v>4002717702</v>
      </c>
      <c r="E8" s="13">
        <v>7027068</v>
      </c>
      <c r="F8" s="13">
        <v>4579348</v>
      </c>
      <c r="G8" s="13">
        <v>57837</v>
      </c>
      <c r="H8" s="13">
        <v>37691</v>
      </c>
      <c r="I8" s="14" t="s">
        <v>41</v>
      </c>
      <c r="J8" s="14" t="s">
        <v>24</v>
      </c>
      <c r="K8" s="15" t="s">
        <v>608</v>
      </c>
      <c r="L8" s="15" t="s">
        <v>793</v>
      </c>
      <c r="M8" s="15" t="s">
        <v>768</v>
      </c>
      <c r="N8" s="16" t="s">
        <v>269</v>
      </c>
      <c r="O8" s="16" t="s">
        <v>157</v>
      </c>
      <c r="P8" s="20" t="e">
        <f t="shared" ref="P8:P71" si="0">(B8-B1)/B1</f>
        <v>#VALUE!</v>
      </c>
      <c r="Q8" s="20" t="e">
        <f t="shared" ref="Q8:Q12" si="1">(E8-E1)/E1</f>
        <v>#DIV/0!</v>
      </c>
      <c r="R8" s="20" t="e">
        <f t="shared" ref="R8:R12" si="2">(F8-F1)/F1</f>
        <v>#DIV/0!</v>
      </c>
    </row>
    <row r="9" spans="1:18" ht="17.399999999999999" x14ac:dyDescent="0.4">
      <c r="A9" s="12" t="s">
        <v>794</v>
      </c>
      <c r="B9" s="13">
        <v>183289568067</v>
      </c>
      <c r="C9" s="13">
        <v>186397966450</v>
      </c>
      <c r="D9" s="13">
        <v>3108398383</v>
      </c>
      <c r="E9" s="13">
        <v>6291747</v>
      </c>
      <c r="F9" s="13">
        <v>4178588</v>
      </c>
      <c r="G9" s="13">
        <v>44608</v>
      </c>
      <c r="H9" s="13">
        <v>29626</v>
      </c>
      <c r="I9" s="14" t="s">
        <v>41</v>
      </c>
      <c r="J9" s="14" t="s">
        <v>24</v>
      </c>
      <c r="K9" s="16" t="s">
        <v>795</v>
      </c>
      <c r="L9" s="16" t="s">
        <v>796</v>
      </c>
      <c r="M9" s="16" t="s">
        <v>797</v>
      </c>
      <c r="N9" s="16" t="s">
        <v>243</v>
      </c>
      <c r="O9" s="16" t="s">
        <v>165</v>
      </c>
      <c r="P9" s="20" t="e">
        <f t="shared" si="0"/>
        <v>#VALUE!</v>
      </c>
      <c r="Q9" s="20" t="e">
        <f t="shared" si="1"/>
        <v>#DIV/0!</v>
      </c>
      <c r="R9" s="20" t="e">
        <f t="shared" si="2"/>
        <v>#DIV/0!</v>
      </c>
    </row>
    <row r="10" spans="1:18" ht="17.399999999999999" x14ac:dyDescent="0.4">
      <c r="A10" s="12" t="s">
        <v>798</v>
      </c>
      <c r="B10" s="13">
        <v>181399239209</v>
      </c>
      <c r="C10" s="13">
        <v>184393363615</v>
      </c>
      <c r="D10" s="13">
        <v>2994124406</v>
      </c>
      <c r="E10" s="13">
        <v>5240976</v>
      </c>
      <c r="F10" s="13">
        <v>3737753</v>
      </c>
      <c r="G10" s="13">
        <v>49333</v>
      </c>
      <c r="H10" s="13">
        <v>35183</v>
      </c>
      <c r="I10" s="14" t="s">
        <v>23</v>
      </c>
      <c r="J10" s="14" t="s">
        <v>24</v>
      </c>
      <c r="K10" s="16" t="s">
        <v>211</v>
      </c>
      <c r="L10" s="16" t="s">
        <v>450</v>
      </c>
      <c r="M10" s="16" t="s">
        <v>241</v>
      </c>
      <c r="N10" s="16" t="s">
        <v>799</v>
      </c>
      <c r="O10" s="16" t="s">
        <v>243</v>
      </c>
      <c r="P10" s="20" t="e">
        <f t="shared" si="0"/>
        <v>#VALUE!</v>
      </c>
      <c r="Q10" s="20" t="e">
        <f t="shared" si="1"/>
        <v>#DIV/0!</v>
      </c>
      <c r="R10" s="20" t="e">
        <f t="shared" si="2"/>
        <v>#DIV/0!</v>
      </c>
    </row>
    <row r="11" spans="1:18" ht="17.399999999999999" x14ac:dyDescent="0.4">
      <c r="A11" s="12" t="s">
        <v>800</v>
      </c>
      <c r="B11" s="13">
        <v>195660045435</v>
      </c>
      <c r="C11" s="13">
        <v>198343618107</v>
      </c>
      <c r="D11" s="13">
        <v>2683572673</v>
      </c>
      <c r="E11" s="13">
        <v>5548340</v>
      </c>
      <c r="F11" s="13">
        <v>3942421</v>
      </c>
      <c r="G11" s="13">
        <v>50310</v>
      </c>
      <c r="H11" s="13">
        <v>35748</v>
      </c>
      <c r="I11" s="14" t="s">
        <v>23</v>
      </c>
      <c r="J11" s="14" t="s">
        <v>24</v>
      </c>
      <c r="K11" s="15" t="s">
        <v>801</v>
      </c>
      <c r="L11" s="15" t="s">
        <v>256</v>
      </c>
      <c r="M11" s="16" t="s">
        <v>32</v>
      </c>
      <c r="N11" s="15" t="s">
        <v>173</v>
      </c>
      <c r="O11" s="15" t="s">
        <v>174</v>
      </c>
      <c r="P11" s="20" t="e">
        <f t="shared" si="0"/>
        <v>#VALUE!</v>
      </c>
      <c r="Q11" s="20" t="e">
        <f t="shared" si="1"/>
        <v>#DIV/0!</v>
      </c>
      <c r="R11" s="20" t="e">
        <f t="shared" si="2"/>
        <v>#DIV/0!</v>
      </c>
    </row>
    <row r="12" spans="1:18" ht="17.399999999999999" x14ac:dyDescent="0.4">
      <c r="A12" s="12" t="s">
        <v>802</v>
      </c>
      <c r="B12" s="13">
        <v>160133592917</v>
      </c>
      <c r="C12" s="13">
        <v>162240768016</v>
      </c>
      <c r="D12" s="13">
        <v>2107175099</v>
      </c>
      <c r="E12" s="13">
        <v>7530488</v>
      </c>
      <c r="F12" s="13">
        <v>4650408</v>
      </c>
      <c r="G12" s="13">
        <v>34887</v>
      </c>
      <c r="H12" s="17">
        <v>21545</v>
      </c>
      <c r="I12" s="14" t="s">
        <v>95</v>
      </c>
      <c r="J12" s="14" t="s">
        <v>24</v>
      </c>
      <c r="K12" s="16" t="s">
        <v>689</v>
      </c>
      <c r="L12" s="16" t="s">
        <v>689</v>
      </c>
      <c r="M12" s="16" t="s">
        <v>640</v>
      </c>
      <c r="N12" s="15" t="s">
        <v>691</v>
      </c>
      <c r="O12" s="15" t="s">
        <v>559</v>
      </c>
      <c r="P12" s="20" t="e">
        <f t="shared" si="0"/>
        <v>#VALUE!</v>
      </c>
      <c r="Q12" s="20" t="e">
        <f t="shared" si="1"/>
        <v>#VALUE!</v>
      </c>
      <c r="R12" s="20" t="e">
        <f t="shared" si="2"/>
        <v>#VALUE!</v>
      </c>
    </row>
    <row r="13" spans="1:18" ht="17.399999999999999" x14ac:dyDescent="0.4">
      <c r="A13" s="12" t="s">
        <v>803</v>
      </c>
      <c r="B13" s="13">
        <v>202763904067</v>
      </c>
      <c r="C13" s="13">
        <v>206255785032</v>
      </c>
      <c r="D13" s="13">
        <v>3491880965</v>
      </c>
      <c r="E13" s="13">
        <v>7344723</v>
      </c>
      <c r="F13" s="13">
        <v>4594674</v>
      </c>
      <c r="G13" s="13">
        <v>44890</v>
      </c>
      <c r="H13" s="13">
        <v>28082</v>
      </c>
      <c r="I13" s="14" t="s">
        <v>95</v>
      </c>
      <c r="J13" s="14" t="s">
        <v>24</v>
      </c>
      <c r="K13" s="15" t="s">
        <v>435</v>
      </c>
      <c r="L13" s="15" t="s">
        <v>548</v>
      </c>
      <c r="M13" s="15" t="s">
        <v>804</v>
      </c>
      <c r="N13" s="16" t="s">
        <v>213</v>
      </c>
      <c r="O13" s="16" t="s">
        <v>162</v>
      </c>
      <c r="P13" s="20">
        <f t="shared" si="0"/>
        <v>-0.13078450470355382</v>
      </c>
      <c r="Q13" s="20">
        <f>(E13-E6)/E6</f>
        <v>-3.9262989471128669E-2</v>
      </c>
      <c r="R13" s="20">
        <f>(F13-F6)/F6</f>
        <v>-4.9576136731741362E-2</v>
      </c>
    </row>
    <row r="14" spans="1:18" ht="17.399999999999999" x14ac:dyDescent="0.4">
      <c r="A14" s="12" t="s">
        <v>805</v>
      </c>
      <c r="B14" s="13">
        <v>191738526578</v>
      </c>
      <c r="C14" s="13">
        <v>194849923267</v>
      </c>
      <c r="D14" s="13">
        <v>3111396689</v>
      </c>
      <c r="E14" s="13">
        <v>7168320</v>
      </c>
      <c r="F14" s="13">
        <v>4519346</v>
      </c>
      <c r="G14" s="13">
        <v>43115</v>
      </c>
      <c r="H14" s="13">
        <v>27182</v>
      </c>
      <c r="I14" s="14" t="s">
        <v>95</v>
      </c>
      <c r="J14" s="14" t="s">
        <v>24</v>
      </c>
      <c r="K14" s="16" t="s">
        <v>269</v>
      </c>
      <c r="L14" s="16" t="s">
        <v>542</v>
      </c>
      <c r="M14" s="16" t="s">
        <v>664</v>
      </c>
      <c r="N14" s="16" t="s">
        <v>182</v>
      </c>
      <c r="O14" s="16" t="s">
        <v>426</v>
      </c>
      <c r="P14" s="20">
        <f t="shared" si="0"/>
        <v>-9.9824598000889386E-2</v>
      </c>
      <c r="Q14" s="20">
        <f t="shared" ref="Q14:Q77" si="3">(E14-E7)/E7</f>
        <v>-3.5224704681979545E-2</v>
      </c>
      <c r="R14" s="20">
        <f t="shared" ref="R14:R77" si="4">(F14-F7)/F7</f>
        <v>-4.8931555672281732E-2</v>
      </c>
    </row>
    <row r="15" spans="1:18" ht="17.399999999999999" x14ac:dyDescent="0.4">
      <c r="A15" s="12" t="s">
        <v>806</v>
      </c>
      <c r="B15" s="13">
        <v>246695083424</v>
      </c>
      <c r="C15" s="13">
        <v>250498471317</v>
      </c>
      <c r="D15" s="13">
        <v>3803387893</v>
      </c>
      <c r="E15" s="13">
        <v>7088912</v>
      </c>
      <c r="F15" s="13">
        <v>4513503</v>
      </c>
      <c r="G15" s="13">
        <v>55500</v>
      </c>
      <c r="H15" s="13">
        <v>35337</v>
      </c>
      <c r="I15" s="14" t="s">
        <v>95</v>
      </c>
      <c r="J15" s="14" t="s">
        <v>24</v>
      </c>
      <c r="K15" s="15" t="s">
        <v>720</v>
      </c>
      <c r="L15" s="15" t="s">
        <v>440</v>
      </c>
      <c r="M15" s="15" t="s">
        <v>607</v>
      </c>
      <c r="N15" s="16" t="s">
        <v>450</v>
      </c>
      <c r="O15" s="16" t="s">
        <v>81</v>
      </c>
      <c r="P15" s="20">
        <f t="shared" si="0"/>
        <v>-5.4274762800283906E-2</v>
      </c>
      <c r="Q15" s="20">
        <f t="shared" si="3"/>
        <v>8.8008256074937653E-3</v>
      </c>
      <c r="R15" s="20">
        <f t="shared" si="4"/>
        <v>-1.4378684476480058E-2</v>
      </c>
    </row>
    <row r="16" spans="1:18" ht="17.399999999999999" x14ac:dyDescent="0.4">
      <c r="A16" s="12" t="s">
        <v>807</v>
      </c>
      <c r="B16" s="13">
        <v>176945392875</v>
      </c>
      <c r="C16" s="13">
        <v>179913179416</v>
      </c>
      <c r="D16" s="13">
        <v>2967786541</v>
      </c>
      <c r="E16" s="13">
        <v>6162098</v>
      </c>
      <c r="F16" s="13">
        <v>4118495</v>
      </c>
      <c r="G16" s="13">
        <v>43684</v>
      </c>
      <c r="H16" s="13">
        <v>29197</v>
      </c>
      <c r="I16" s="14" t="s">
        <v>41</v>
      </c>
      <c r="J16" s="14" t="s">
        <v>24</v>
      </c>
      <c r="K16" s="16" t="s">
        <v>808</v>
      </c>
      <c r="L16" s="16" t="s">
        <v>365</v>
      </c>
      <c r="M16" s="16" t="s">
        <v>809</v>
      </c>
      <c r="N16" s="16" t="s">
        <v>549</v>
      </c>
      <c r="O16" s="16" t="s">
        <v>165</v>
      </c>
      <c r="P16" s="20">
        <f t="shared" si="0"/>
        <v>-3.4612854724394015E-2</v>
      </c>
      <c r="Q16" s="20">
        <f t="shared" si="3"/>
        <v>-2.0606200471824439E-2</v>
      </c>
      <c r="R16" s="20">
        <f t="shared" si="4"/>
        <v>-1.4381173736199885E-2</v>
      </c>
    </row>
    <row r="17" spans="1:18" ht="17.399999999999999" x14ac:dyDescent="0.4">
      <c r="A17" s="12" t="s">
        <v>810</v>
      </c>
      <c r="B17" s="13">
        <v>176143594770</v>
      </c>
      <c r="C17" s="13">
        <v>179044391198</v>
      </c>
      <c r="D17" s="13">
        <v>2900796428</v>
      </c>
      <c r="E17" s="13">
        <v>5066073</v>
      </c>
      <c r="F17" s="13">
        <v>3628678</v>
      </c>
      <c r="G17" s="13">
        <v>49341</v>
      </c>
      <c r="H17" s="13">
        <v>35342</v>
      </c>
      <c r="I17" s="14" t="s">
        <v>23</v>
      </c>
      <c r="J17" s="14" t="s">
        <v>24</v>
      </c>
      <c r="K17" s="16" t="s">
        <v>232</v>
      </c>
      <c r="L17" s="16" t="s">
        <v>232</v>
      </c>
      <c r="M17" s="16" t="s">
        <v>92</v>
      </c>
      <c r="N17" s="16" t="s">
        <v>186</v>
      </c>
      <c r="O17" s="16" t="s">
        <v>477</v>
      </c>
      <c r="P17" s="20">
        <f t="shared" si="0"/>
        <v>-2.8972803093979264E-2</v>
      </c>
      <c r="Q17" s="20">
        <f t="shared" si="3"/>
        <v>-3.3372219220236844E-2</v>
      </c>
      <c r="R17" s="20">
        <f t="shared" si="4"/>
        <v>-2.9181971093327996E-2</v>
      </c>
    </row>
    <row r="18" spans="1:18" ht="17.399999999999999" x14ac:dyDescent="0.4">
      <c r="A18" s="12" t="s">
        <v>811</v>
      </c>
      <c r="B18" s="13">
        <v>190328557156</v>
      </c>
      <c r="C18" s="13">
        <v>192879820996</v>
      </c>
      <c r="D18" s="13">
        <v>2551263840</v>
      </c>
      <c r="E18" s="13">
        <v>5305333</v>
      </c>
      <c r="F18" s="13">
        <v>3773425</v>
      </c>
      <c r="G18" s="13">
        <v>51115</v>
      </c>
      <c r="H18" s="13">
        <v>36356</v>
      </c>
      <c r="I18" s="14" t="s">
        <v>23</v>
      </c>
      <c r="J18" s="14" t="s">
        <v>24</v>
      </c>
      <c r="K18" s="15" t="s">
        <v>395</v>
      </c>
      <c r="L18" s="15" t="s">
        <v>490</v>
      </c>
      <c r="M18" s="16" t="s">
        <v>242</v>
      </c>
      <c r="N18" s="15" t="s">
        <v>84</v>
      </c>
      <c r="O18" s="15" t="s">
        <v>214</v>
      </c>
      <c r="P18" s="20">
        <f t="shared" si="0"/>
        <v>-2.7248732704455839E-2</v>
      </c>
      <c r="Q18" s="20">
        <f t="shared" si="3"/>
        <v>-4.3798145030765956E-2</v>
      </c>
      <c r="R18" s="20">
        <f t="shared" si="4"/>
        <v>-4.2866046015887192E-2</v>
      </c>
    </row>
    <row r="19" spans="1:18" ht="17.399999999999999" x14ac:dyDescent="0.4">
      <c r="A19" s="12" t="s">
        <v>812</v>
      </c>
      <c r="B19" s="13">
        <v>146163479467</v>
      </c>
      <c r="C19" s="13">
        <v>148247706153</v>
      </c>
      <c r="D19" s="13">
        <v>2084226686</v>
      </c>
      <c r="E19" s="13">
        <v>6944213</v>
      </c>
      <c r="F19" s="13">
        <v>4378887</v>
      </c>
      <c r="G19" s="13">
        <v>33855</v>
      </c>
      <c r="H19" s="13">
        <v>21348</v>
      </c>
      <c r="I19" s="14" t="s">
        <v>95</v>
      </c>
      <c r="J19" s="14" t="s">
        <v>24</v>
      </c>
      <c r="K19" s="16" t="s">
        <v>592</v>
      </c>
      <c r="L19" s="16" t="s">
        <v>618</v>
      </c>
      <c r="M19" s="16" t="s">
        <v>813</v>
      </c>
      <c r="N19" s="15" t="s">
        <v>299</v>
      </c>
      <c r="O19" s="15" t="s">
        <v>814</v>
      </c>
      <c r="P19" s="20">
        <f t="shared" si="0"/>
        <v>-8.7240367217895062E-2</v>
      </c>
      <c r="Q19" s="20">
        <f t="shared" si="3"/>
        <v>-7.7853520249949279E-2</v>
      </c>
      <c r="R19" s="20">
        <f t="shared" si="4"/>
        <v>-5.8386489959590643E-2</v>
      </c>
    </row>
    <row r="20" spans="1:18" ht="17.399999999999999" x14ac:dyDescent="0.4">
      <c r="A20" s="12" t="s">
        <v>735</v>
      </c>
      <c r="B20" s="13">
        <v>183051902799</v>
      </c>
      <c r="C20" s="13">
        <v>186423835183</v>
      </c>
      <c r="D20" s="13">
        <v>3371932385</v>
      </c>
      <c r="E20" s="13">
        <v>6470068</v>
      </c>
      <c r="F20" s="13">
        <v>4189125</v>
      </c>
      <c r="G20" s="13">
        <v>44502</v>
      </c>
      <c r="H20" s="13">
        <v>28813</v>
      </c>
      <c r="I20" s="14" t="s">
        <v>41</v>
      </c>
      <c r="J20" s="14" t="s">
        <v>24</v>
      </c>
      <c r="K20" s="15" t="s">
        <v>570</v>
      </c>
      <c r="L20" s="15" t="s">
        <v>436</v>
      </c>
      <c r="M20" s="15" t="s">
        <v>736</v>
      </c>
      <c r="N20" s="16" t="s">
        <v>220</v>
      </c>
      <c r="O20" s="16" t="s">
        <v>289</v>
      </c>
      <c r="P20" s="20">
        <f t="shared" si="0"/>
        <v>-9.7216520655897878E-2</v>
      </c>
      <c r="Q20" s="20">
        <f t="shared" si="3"/>
        <v>-0.11908617928817737</v>
      </c>
      <c r="R20" s="20">
        <f t="shared" si="4"/>
        <v>-8.8265021631567325E-2</v>
      </c>
    </row>
    <row r="21" spans="1:18" ht="17.399999999999999" x14ac:dyDescent="0.4">
      <c r="A21" s="12" t="s">
        <v>737</v>
      </c>
      <c r="B21" s="13">
        <v>173039895079</v>
      </c>
      <c r="C21" s="13">
        <v>175625609750</v>
      </c>
      <c r="D21" s="13">
        <v>2585714671</v>
      </c>
      <c r="E21" s="13">
        <v>6423887</v>
      </c>
      <c r="F21" s="13">
        <v>4196389</v>
      </c>
      <c r="G21" s="13">
        <v>41852</v>
      </c>
      <c r="H21" s="13">
        <v>27339</v>
      </c>
      <c r="I21" s="14" t="s">
        <v>41</v>
      </c>
      <c r="J21" s="14" t="s">
        <v>24</v>
      </c>
      <c r="K21" s="16" t="s">
        <v>542</v>
      </c>
      <c r="L21" s="16" t="s">
        <v>89</v>
      </c>
      <c r="M21" s="16" t="s">
        <v>738</v>
      </c>
      <c r="N21" s="16" t="s">
        <v>152</v>
      </c>
      <c r="O21" s="15" t="s">
        <v>111</v>
      </c>
      <c r="P21" s="20">
        <f t="shared" si="0"/>
        <v>-9.7521514495384015E-2</v>
      </c>
      <c r="Q21" s="20">
        <f t="shared" si="3"/>
        <v>-0.10385041404401589</v>
      </c>
      <c r="R21" s="20">
        <f t="shared" si="4"/>
        <v>-7.1461003428372152E-2</v>
      </c>
    </row>
    <row r="22" spans="1:18" ht="17.399999999999999" x14ac:dyDescent="0.4">
      <c r="A22" s="12" t="s">
        <v>739</v>
      </c>
      <c r="B22" s="13">
        <v>211580689294</v>
      </c>
      <c r="C22" s="13">
        <v>214756762945</v>
      </c>
      <c r="D22" s="13">
        <v>3176073651</v>
      </c>
      <c r="E22" s="13">
        <v>6118337</v>
      </c>
      <c r="F22" s="13">
        <v>4047048</v>
      </c>
      <c r="G22" s="13">
        <v>53065</v>
      </c>
      <c r="H22" s="13">
        <v>35101</v>
      </c>
      <c r="I22" s="14" t="s">
        <v>41</v>
      </c>
      <c r="J22" s="14" t="s">
        <v>24</v>
      </c>
      <c r="K22" s="15" t="s">
        <v>445</v>
      </c>
      <c r="L22" s="15" t="s">
        <v>445</v>
      </c>
      <c r="M22" s="15" t="s">
        <v>740</v>
      </c>
      <c r="N22" s="16" t="s">
        <v>155</v>
      </c>
      <c r="O22" s="16" t="s">
        <v>157</v>
      </c>
      <c r="P22" s="20">
        <f t="shared" si="0"/>
        <v>-0.14233925395930228</v>
      </c>
      <c r="Q22" s="20">
        <f t="shared" si="3"/>
        <v>-0.13691452228494302</v>
      </c>
      <c r="R22" s="20">
        <f t="shared" si="4"/>
        <v>-0.10334655809467724</v>
      </c>
    </row>
    <row r="23" spans="1:18" ht="17.399999999999999" x14ac:dyDescent="0.4">
      <c r="A23" s="12" t="s">
        <v>741</v>
      </c>
      <c r="B23" s="13">
        <v>159323912021</v>
      </c>
      <c r="C23" s="13">
        <v>161910236246</v>
      </c>
      <c r="D23" s="13">
        <v>2586324225</v>
      </c>
      <c r="E23" s="13">
        <v>5737930</v>
      </c>
      <c r="F23" s="13">
        <v>3857894</v>
      </c>
      <c r="G23" s="13">
        <v>41969</v>
      </c>
      <c r="H23" s="13">
        <v>28218</v>
      </c>
      <c r="I23" s="14" t="s">
        <v>41</v>
      </c>
      <c r="J23" s="14" t="s">
        <v>24</v>
      </c>
      <c r="K23" s="16" t="s">
        <v>742</v>
      </c>
      <c r="L23" s="16" t="s">
        <v>135</v>
      </c>
      <c r="M23" s="16" t="s">
        <v>169</v>
      </c>
      <c r="N23" s="16" t="s">
        <v>581</v>
      </c>
      <c r="O23" s="16" t="s">
        <v>265</v>
      </c>
      <c r="P23" s="20">
        <f t="shared" si="0"/>
        <v>-9.9587113106970743E-2</v>
      </c>
      <c r="Q23" s="20">
        <f t="shared" si="3"/>
        <v>-6.8834997431069744E-2</v>
      </c>
      <c r="R23" s="20">
        <f t="shared" si="4"/>
        <v>-6.3275783993910401E-2</v>
      </c>
    </row>
    <row r="24" spans="1:18" ht="17.399999999999999" x14ac:dyDescent="0.4">
      <c r="A24" s="12" t="s">
        <v>743</v>
      </c>
      <c r="B24" s="13">
        <v>162800455465</v>
      </c>
      <c r="C24" s="13">
        <v>165337594244</v>
      </c>
      <c r="D24" s="13">
        <v>2537138779</v>
      </c>
      <c r="E24" s="13">
        <v>4961761</v>
      </c>
      <c r="F24" s="13">
        <v>3572688</v>
      </c>
      <c r="G24" s="13">
        <v>46278</v>
      </c>
      <c r="H24" s="13">
        <v>33322</v>
      </c>
      <c r="I24" s="14" t="s">
        <v>23</v>
      </c>
      <c r="J24" s="14" t="s">
        <v>24</v>
      </c>
      <c r="K24" s="15" t="s">
        <v>744</v>
      </c>
      <c r="L24" s="15" t="s">
        <v>193</v>
      </c>
      <c r="M24" s="16" t="s">
        <v>86</v>
      </c>
      <c r="N24" s="16" t="s">
        <v>222</v>
      </c>
      <c r="O24" s="16" t="s">
        <v>294</v>
      </c>
      <c r="P24" s="20">
        <f t="shared" si="0"/>
        <v>-7.5751487429462541E-2</v>
      </c>
      <c r="Q24" s="20">
        <f t="shared" si="3"/>
        <v>-2.0590307324825363E-2</v>
      </c>
      <c r="R24" s="20">
        <f t="shared" si="4"/>
        <v>-1.5429861784374364E-2</v>
      </c>
    </row>
    <row r="25" spans="1:18" ht="17.399999999999999" x14ac:dyDescent="0.4">
      <c r="A25" s="12" t="s">
        <v>745</v>
      </c>
      <c r="B25" s="13">
        <v>177792508506</v>
      </c>
      <c r="C25" s="13">
        <v>180083618921</v>
      </c>
      <c r="D25" s="13">
        <v>2291110415</v>
      </c>
      <c r="E25" s="13">
        <v>5233573</v>
      </c>
      <c r="F25" s="13">
        <v>3753193</v>
      </c>
      <c r="G25" s="13">
        <v>47981</v>
      </c>
      <c r="H25" s="13">
        <v>34409</v>
      </c>
      <c r="I25" s="14" t="s">
        <v>23</v>
      </c>
      <c r="J25" s="14" t="s">
        <v>24</v>
      </c>
      <c r="K25" s="15" t="s">
        <v>652</v>
      </c>
      <c r="L25" s="15" t="s">
        <v>552</v>
      </c>
      <c r="M25" s="16" t="s">
        <v>509</v>
      </c>
      <c r="N25" s="15" t="s">
        <v>174</v>
      </c>
      <c r="O25" s="15" t="s">
        <v>600</v>
      </c>
      <c r="P25" s="20">
        <f t="shared" si="0"/>
        <v>-6.5865305959972226E-2</v>
      </c>
      <c r="Q25" s="20">
        <f t="shared" si="3"/>
        <v>-1.3526012410531064E-2</v>
      </c>
      <c r="R25" s="20">
        <f t="shared" si="4"/>
        <v>-5.3617072023426993E-3</v>
      </c>
    </row>
    <row r="26" spans="1:18" ht="17.399999999999999" x14ac:dyDescent="0.4">
      <c r="A26" s="12" t="s">
        <v>746</v>
      </c>
      <c r="B26" s="13">
        <v>145713094942</v>
      </c>
      <c r="C26" s="13">
        <v>147552872947</v>
      </c>
      <c r="D26" s="13">
        <v>1839778006</v>
      </c>
      <c r="E26" s="13">
        <v>6699043</v>
      </c>
      <c r="F26" s="13">
        <v>4321187</v>
      </c>
      <c r="G26" s="13">
        <v>34146</v>
      </c>
      <c r="H26" s="13">
        <v>22026</v>
      </c>
      <c r="I26" s="14" t="s">
        <v>95</v>
      </c>
      <c r="J26" s="14" t="s">
        <v>24</v>
      </c>
      <c r="K26" s="16" t="s">
        <v>747</v>
      </c>
      <c r="L26" s="16" t="s">
        <v>697</v>
      </c>
      <c r="M26" s="16" t="s">
        <v>406</v>
      </c>
      <c r="N26" s="15" t="s">
        <v>748</v>
      </c>
      <c r="O26" s="15" t="s">
        <v>749</v>
      </c>
      <c r="P26" s="20">
        <f t="shared" si="0"/>
        <v>-3.0813752289037795E-3</v>
      </c>
      <c r="Q26" s="20">
        <f t="shared" si="3"/>
        <v>-3.5305656666925395E-2</v>
      </c>
      <c r="R26" s="20">
        <f t="shared" si="4"/>
        <v>-1.3176864349319816E-2</v>
      </c>
    </row>
    <row r="27" spans="1:18" ht="17.399999999999999" x14ac:dyDescent="0.4">
      <c r="A27" s="12" t="s">
        <v>750</v>
      </c>
      <c r="B27" s="13">
        <v>178929613942</v>
      </c>
      <c r="C27" s="13">
        <v>181651271190</v>
      </c>
      <c r="D27" s="13">
        <v>2721657248</v>
      </c>
      <c r="E27" s="13">
        <v>6562245</v>
      </c>
      <c r="F27" s="13">
        <v>4260053</v>
      </c>
      <c r="G27" s="13">
        <v>42641</v>
      </c>
      <c r="H27" s="13">
        <v>27681</v>
      </c>
      <c r="I27" s="14" t="s">
        <v>41</v>
      </c>
      <c r="J27" s="14" t="s">
        <v>24</v>
      </c>
      <c r="K27" s="15" t="s">
        <v>740</v>
      </c>
      <c r="L27" s="15" t="s">
        <v>346</v>
      </c>
      <c r="M27" s="15" t="s">
        <v>751</v>
      </c>
      <c r="N27" s="16" t="s">
        <v>306</v>
      </c>
      <c r="O27" s="16" t="s">
        <v>248</v>
      </c>
      <c r="P27" s="20">
        <f t="shared" si="0"/>
        <v>-2.2519781515335988E-2</v>
      </c>
      <c r="Q27" s="20">
        <f t="shared" si="3"/>
        <v>1.4246681796852831E-2</v>
      </c>
      <c r="R27" s="20">
        <f t="shared" si="4"/>
        <v>1.6931459433652613E-2</v>
      </c>
    </row>
    <row r="28" spans="1:18" ht="17.399999999999999" x14ac:dyDescent="0.4">
      <c r="A28" s="12" t="s">
        <v>752</v>
      </c>
      <c r="B28" s="13">
        <v>174871566582</v>
      </c>
      <c r="C28" s="13">
        <v>177388353180</v>
      </c>
      <c r="D28" s="13">
        <v>2516786598</v>
      </c>
      <c r="E28" s="13">
        <v>6561725</v>
      </c>
      <c r="F28" s="13">
        <v>4287474</v>
      </c>
      <c r="G28" s="13">
        <v>41374</v>
      </c>
      <c r="H28" s="13">
        <v>27034</v>
      </c>
      <c r="I28" s="14" t="s">
        <v>41</v>
      </c>
      <c r="J28" s="14" t="s">
        <v>24</v>
      </c>
      <c r="K28" s="16" t="s">
        <v>92</v>
      </c>
      <c r="L28" s="16" t="s">
        <v>92</v>
      </c>
      <c r="M28" s="16" t="s">
        <v>449</v>
      </c>
      <c r="N28" s="13" t="s">
        <v>349</v>
      </c>
      <c r="O28" s="15" t="s">
        <v>201</v>
      </c>
      <c r="P28" s="20">
        <f t="shared" si="0"/>
        <v>1.0585255510954655E-2</v>
      </c>
      <c r="Q28" s="20">
        <f t="shared" si="3"/>
        <v>2.1457102218641142E-2</v>
      </c>
      <c r="R28" s="20">
        <f t="shared" si="4"/>
        <v>2.1705566381000428E-2</v>
      </c>
    </row>
    <row r="29" spans="1:18" ht="17.399999999999999" x14ac:dyDescent="0.4">
      <c r="A29" s="12" t="s">
        <v>753</v>
      </c>
      <c r="B29" s="13">
        <v>217944272999</v>
      </c>
      <c r="C29" s="13">
        <v>221134431585</v>
      </c>
      <c r="D29" s="13">
        <v>3190158586</v>
      </c>
      <c r="E29" s="13">
        <v>6417275</v>
      </c>
      <c r="F29" s="13">
        <v>4204745</v>
      </c>
      <c r="G29" s="13">
        <v>52592</v>
      </c>
      <c r="H29" s="13">
        <v>34459</v>
      </c>
      <c r="I29" s="14" t="s">
        <v>41</v>
      </c>
      <c r="J29" s="14" t="s">
        <v>24</v>
      </c>
      <c r="K29" s="15" t="s">
        <v>625</v>
      </c>
      <c r="L29" s="15" t="s">
        <v>754</v>
      </c>
      <c r="M29" s="15" t="s">
        <v>755</v>
      </c>
      <c r="N29" s="16" t="s">
        <v>160</v>
      </c>
      <c r="O29" s="16" t="s">
        <v>86</v>
      </c>
      <c r="P29" s="20">
        <f t="shared" si="0"/>
        <v>3.0076391783361387E-2</v>
      </c>
      <c r="Q29" s="20">
        <f t="shared" si="3"/>
        <v>4.8859355082925313E-2</v>
      </c>
      <c r="R29" s="20">
        <f t="shared" si="4"/>
        <v>3.8965932699587452E-2</v>
      </c>
    </row>
    <row r="30" spans="1:18" ht="17.399999999999999" x14ac:dyDescent="0.4">
      <c r="A30" s="12" t="s">
        <v>756</v>
      </c>
      <c r="B30" s="13">
        <v>168412122478</v>
      </c>
      <c r="C30" s="13">
        <v>170937348900</v>
      </c>
      <c r="D30" s="13">
        <v>2525226422</v>
      </c>
      <c r="E30" s="13">
        <v>6123309</v>
      </c>
      <c r="F30" s="13">
        <v>4128983</v>
      </c>
      <c r="G30" s="13">
        <v>41399</v>
      </c>
      <c r="H30" s="13">
        <v>27916</v>
      </c>
      <c r="I30" s="14" t="s">
        <v>41</v>
      </c>
      <c r="J30" s="14" t="s">
        <v>24</v>
      </c>
      <c r="K30" s="16" t="s">
        <v>457</v>
      </c>
      <c r="L30" s="16" t="s">
        <v>457</v>
      </c>
      <c r="M30" s="16" t="s">
        <v>757</v>
      </c>
      <c r="N30" s="16" t="s">
        <v>240</v>
      </c>
      <c r="O30" s="16" t="s">
        <v>93</v>
      </c>
      <c r="P30" s="20">
        <f t="shared" si="0"/>
        <v>5.7042350653567372E-2</v>
      </c>
      <c r="Q30" s="20">
        <f t="shared" si="3"/>
        <v>6.7163419560712659E-2</v>
      </c>
      <c r="R30" s="20">
        <f t="shared" si="4"/>
        <v>7.0268649164544172E-2</v>
      </c>
    </row>
    <row r="31" spans="1:18" ht="17.399999999999999" x14ac:dyDescent="0.4">
      <c r="A31" s="12" t="s">
        <v>758</v>
      </c>
      <c r="B31" s="13">
        <v>167607542523</v>
      </c>
      <c r="C31" s="13">
        <v>170143219698</v>
      </c>
      <c r="D31" s="13">
        <v>2535677175</v>
      </c>
      <c r="E31" s="13">
        <v>5054743</v>
      </c>
      <c r="F31" s="13">
        <v>3605644</v>
      </c>
      <c r="G31" s="13">
        <v>47188</v>
      </c>
      <c r="H31" s="13">
        <v>33660</v>
      </c>
      <c r="I31" s="14" t="s">
        <v>23</v>
      </c>
      <c r="J31" s="14" t="s">
        <v>24</v>
      </c>
      <c r="K31" s="16" t="s">
        <v>232</v>
      </c>
      <c r="L31" s="16" t="s">
        <v>232</v>
      </c>
      <c r="M31" s="15" t="s">
        <v>285</v>
      </c>
      <c r="N31" s="16" t="s">
        <v>759</v>
      </c>
      <c r="O31" s="16" t="s">
        <v>315</v>
      </c>
      <c r="P31" s="20">
        <f t="shared" si="0"/>
        <v>2.9527479172399871E-2</v>
      </c>
      <c r="Q31" s="20">
        <f t="shared" si="3"/>
        <v>1.8739717612355773E-2</v>
      </c>
      <c r="R31" s="20">
        <f t="shared" si="4"/>
        <v>9.2244270980281519E-3</v>
      </c>
    </row>
    <row r="32" spans="1:18" ht="17.399999999999999" x14ac:dyDescent="0.4">
      <c r="A32" s="12" t="s">
        <v>760</v>
      </c>
      <c r="B32" s="13">
        <v>181484307011</v>
      </c>
      <c r="C32" s="13">
        <v>183826416538</v>
      </c>
      <c r="D32" s="13">
        <v>2342109528</v>
      </c>
      <c r="E32" s="13">
        <v>5304887</v>
      </c>
      <c r="F32" s="13">
        <v>3756182</v>
      </c>
      <c r="G32" s="13">
        <v>48940</v>
      </c>
      <c r="H32" s="13">
        <v>34652</v>
      </c>
      <c r="I32" s="14" t="s">
        <v>23</v>
      </c>
      <c r="J32" s="14" t="s">
        <v>24</v>
      </c>
      <c r="K32" s="15" t="s">
        <v>761</v>
      </c>
      <c r="L32" s="15" t="s">
        <v>76</v>
      </c>
      <c r="M32" s="16" t="s">
        <v>391</v>
      </c>
      <c r="N32" s="15" t="s">
        <v>555</v>
      </c>
      <c r="O32" s="15" t="s">
        <v>225</v>
      </c>
      <c r="P32" s="20">
        <f t="shared" si="0"/>
        <v>2.0764646024865621E-2</v>
      </c>
      <c r="Q32" s="20">
        <f t="shared" si="3"/>
        <v>1.3626254950489847E-2</v>
      </c>
      <c r="R32" s="20">
        <f t="shared" si="4"/>
        <v>7.9638856834700485E-4</v>
      </c>
    </row>
    <row r="33" spans="1:18" ht="17.399999999999999" x14ac:dyDescent="0.4">
      <c r="A33" s="12" t="s">
        <v>762</v>
      </c>
      <c r="B33" s="13">
        <v>144183949689</v>
      </c>
      <c r="C33" s="13">
        <v>146049012685</v>
      </c>
      <c r="D33" s="13">
        <v>1865062996</v>
      </c>
      <c r="E33" s="13">
        <v>6655962</v>
      </c>
      <c r="F33" s="13">
        <v>4304362</v>
      </c>
      <c r="G33" s="13">
        <v>33930</v>
      </c>
      <c r="H33" s="13">
        <v>21943</v>
      </c>
      <c r="I33" s="14" t="s">
        <v>41</v>
      </c>
      <c r="J33" s="14" t="s">
        <v>24</v>
      </c>
      <c r="K33" s="16" t="s">
        <v>234</v>
      </c>
      <c r="L33" s="16" t="s">
        <v>234</v>
      </c>
      <c r="M33" s="16" t="s">
        <v>472</v>
      </c>
      <c r="N33" s="15" t="s">
        <v>45</v>
      </c>
      <c r="O33" s="15" t="s">
        <v>443</v>
      </c>
      <c r="P33" s="20">
        <f t="shared" si="0"/>
        <v>-1.0494219847630474E-2</v>
      </c>
      <c r="Q33" s="20">
        <f t="shared" si="3"/>
        <v>-6.4309185655324203E-3</v>
      </c>
      <c r="R33" s="20">
        <f t="shared" si="4"/>
        <v>-3.8936060855501047E-3</v>
      </c>
    </row>
    <row r="34" spans="1:18" ht="17.399999999999999" x14ac:dyDescent="0.4">
      <c r="A34" s="12" t="s">
        <v>763</v>
      </c>
      <c r="B34" s="13">
        <v>176590496877</v>
      </c>
      <c r="C34" s="13">
        <v>179367258384</v>
      </c>
      <c r="D34" s="13">
        <v>2776761507</v>
      </c>
      <c r="E34" s="13">
        <v>6333592</v>
      </c>
      <c r="F34" s="13">
        <v>4157072</v>
      </c>
      <c r="G34" s="13">
        <v>43147</v>
      </c>
      <c r="H34" s="13">
        <v>28320</v>
      </c>
      <c r="I34" s="14" t="s">
        <v>41</v>
      </c>
      <c r="J34" s="14" t="s">
        <v>24</v>
      </c>
      <c r="K34" s="15" t="s">
        <v>608</v>
      </c>
      <c r="L34" s="15" t="s">
        <v>740</v>
      </c>
      <c r="M34" s="15" t="s">
        <v>764</v>
      </c>
      <c r="N34" s="16" t="s">
        <v>155</v>
      </c>
      <c r="O34" s="16" t="s">
        <v>119</v>
      </c>
      <c r="P34" s="20">
        <f t="shared" si="0"/>
        <v>-1.307283357666118E-2</v>
      </c>
      <c r="Q34" s="20">
        <f t="shared" si="3"/>
        <v>-3.4843715832005663E-2</v>
      </c>
      <c r="R34" s="20">
        <f t="shared" si="4"/>
        <v>-2.4173642910076471E-2</v>
      </c>
    </row>
    <row r="35" spans="1:18" ht="17.399999999999999" x14ac:dyDescent="0.4">
      <c r="A35" s="12" t="s">
        <v>765</v>
      </c>
      <c r="B35" s="13">
        <v>164618547635</v>
      </c>
      <c r="C35" s="13">
        <v>167125690822</v>
      </c>
      <c r="D35" s="13">
        <v>2507143186</v>
      </c>
      <c r="E35" s="13">
        <v>5976024</v>
      </c>
      <c r="F35" s="13">
        <v>3934269</v>
      </c>
      <c r="G35" s="13">
        <v>42479</v>
      </c>
      <c r="H35" s="13">
        <v>27966</v>
      </c>
      <c r="I35" s="14" t="s">
        <v>41</v>
      </c>
      <c r="J35" s="14" t="s">
        <v>24</v>
      </c>
      <c r="K35" s="16" t="s">
        <v>220</v>
      </c>
      <c r="L35" s="16" t="s">
        <v>220</v>
      </c>
      <c r="M35" s="16" t="s">
        <v>509</v>
      </c>
      <c r="N35" s="16" t="s">
        <v>392</v>
      </c>
      <c r="O35" s="16" t="s">
        <v>269</v>
      </c>
      <c r="P35" s="20">
        <f t="shared" si="0"/>
        <v>-5.8631709816542414E-2</v>
      </c>
      <c r="Q35" s="20">
        <f t="shared" si="3"/>
        <v>-8.9260217397102132E-2</v>
      </c>
      <c r="R35" s="20">
        <f t="shared" si="4"/>
        <v>-8.2380674495052333E-2</v>
      </c>
    </row>
    <row r="36" spans="1:18" ht="17.399999999999999" x14ac:dyDescent="0.4">
      <c r="A36" s="12" t="s">
        <v>766</v>
      </c>
      <c r="B36" s="13">
        <v>209520423025</v>
      </c>
      <c r="C36" s="13">
        <v>212751329193</v>
      </c>
      <c r="D36" s="13">
        <v>3230906168</v>
      </c>
      <c r="E36" s="13">
        <v>5967005</v>
      </c>
      <c r="F36" s="13">
        <v>4017350</v>
      </c>
      <c r="G36" s="13">
        <v>52958</v>
      </c>
      <c r="H36" s="13">
        <v>35655</v>
      </c>
      <c r="I36" s="14" t="s">
        <v>41</v>
      </c>
      <c r="J36" s="14" t="s">
        <v>24</v>
      </c>
      <c r="K36" s="15" t="s">
        <v>767</v>
      </c>
      <c r="L36" s="15" t="s">
        <v>767</v>
      </c>
      <c r="M36" s="15" t="s">
        <v>768</v>
      </c>
      <c r="N36" s="16" t="s">
        <v>87</v>
      </c>
      <c r="O36" s="15" t="s">
        <v>193</v>
      </c>
      <c r="P36" s="20">
        <f t="shared" si="0"/>
        <v>-3.8651394037955068E-2</v>
      </c>
      <c r="Q36" s="20">
        <f t="shared" si="3"/>
        <v>-7.0165296017390563E-2</v>
      </c>
      <c r="R36" s="20">
        <f t="shared" si="4"/>
        <v>-4.4567506471855013E-2</v>
      </c>
    </row>
    <row r="37" spans="1:18" ht="17.399999999999999" x14ac:dyDescent="0.4">
      <c r="A37" s="12" t="s">
        <v>769</v>
      </c>
      <c r="B37" s="13">
        <v>203405215579</v>
      </c>
      <c r="C37" s="13">
        <v>206343096050</v>
      </c>
      <c r="D37" s="13">
        <v>2937880471</v>
      </c>
      <c r="E37" s="13">
        <v>5821833</v>
      </c>
      <c r="F37" s="13">
        <v>3939271</v>
      </c>
      <c r="G37" s="13">
        <v>52381</v>
      </c>
      <c r="H37" s="13">
        <v>35443</v>
      </c>
      <c r="I37" s="14" t="s">
        <v>41</v>
      </c>
      <c r="J37" s="14" t="s">
        <v>24</v>
      </c>
      <c r="K37" s="16" t="s">
        <v>205</v>
      </c>
      <c r="L37" s="16" t="s">
        <v>422</v>
      </c>
      <c r="M37" s="16" t="s">
        <v>433</v>
      </c>
      <c r="N37" s="16" t="s">
        <v>182</v>
      </c>
      <c r="O37" s="16" t="s">
        <v>86</v>
      </c>
      <c r="P37" s="20">
        <f t="shared" si="0"/>
        <v>0.20778250749479876</v>
      </c>
      <c r="Q37" s="20">
        <f t="shared" si="3"/>
        <v>-4.9234164076972106E-2</v>
      </c>
      <c r="R37" s="20">
        <f t="shared" si="4"/>
        <v>-4.594642312646964E-2</v>
      </c>
    </row>
    <row r="38" spans="1:18" ht="17.399999999999999" x14ac:dyDescent="0.4">
      <c r="A38" s="12" t="s">
        <v>770</v>
      </c>
      <c r="B38" s="13">
        <v>182645153498</v>
      </c>
      <c r="C38" s="13">
        <v>185465513937</v>
      </c>
      <c r="D38" s="13">
        <v>2820360439</v>
      </c>
      <c r="E38" s="13">
        <v>5003947</v>
      </c>
      <c r="F38" s="13">
        <v>3562145</v>
      </c>
      <c r="G38" s="13">
        <v>52066</v>
      </c>
      <c r="H38" s="13">
        <v>37064</v>
      </c>
      <c r="I38" s="14" t="s">
        <v>23</v>
      </c>
      <c r="J38" s="14" t="s">
        <v>24</v>
      </c>
      <c r="K38" s="16" t="s">
        <v>771</v>
      </c>
      <c r="L38" s="16" t="s">
        <v>291</v>
      </c>
      <c r="M38" s="16" t="s">
        <v>333</v>
      </c>
      <c r="N38" s="16" t="s">
        <v>106</v>
      </c>
      <c r="O38" s="16" t="s">
        <v>437</v>
      </c>
      <c r="P38" s="20">
        <f t="shared" si="0"/>
        <v>8.9719178198298916E-2</v>
      </c>
      <c r="Q38" s="20">
        <f t="shared" si="3"/>
        <v>-1.004917559606888E-2</v>
      </c>
      <c r="R38" s="20">
        <f t="shared" si="4"/>
        <v>-1.2064141662349362E-2</v>
      </c>
    </row>
    <row r="39" spans="1:18" ht="17.399999999999999" x14ac:dyDescent="0.4">
      <c r="A39" s="12" t="s">
        <v>772</v>
      </c>
      <c r="B39" s="13">
        <v>230998231769</v>
      </c>
      <c r="C39" s="13">
        <v>234060261080</v>
      </c>
      <c r="D39" s="13">
        <v>3062029311</v>
      </c>
      <c r="E39" s="13">
        <v>5067835</v>
      </c>
      <c r="F39" s="13">
        <v>3634934</v>
      </c>
      <c r="G39" s="13">
        <v>64392</v>
      </c>
      <c r="H39" s="13">
        <v>46185</v>
      </c>
      <c r="I39" s="14" t="s">
        <v>23</v>
      </c>
      <c r="J39" s="14" t="s">
        <v>24</v>
      </c>
      <c r="K39" s="15" t="s">
        <v>196</v>
      </c>
      <c r="L39" s="15" t="s">
        <v>304</v>
      </c>
      <c r="M39" s="15" t="s">
        <v>462</v>
      </c>
      <c r="N39" s="15" t="s">
        <v>377</v>
      </c>
      <c r="O39" s="15" t="s">
        <v>319</v>
      </c>
      <c r="P39" s="20">
        <f t="shared" si="0"/>
        <v>0.27282758257990258</v>
      </c>
      <c r="Q39" s="20">
        <f t="shared" si="3"/>
        <v>-4.4685588967305054E-2</v>
      </c>
      <c r="R39" s="20">
        <f t="shared" si="4"/>
        <v>-3.2279586026449196E-2</v>
      </c>
    </row>
    <row r="40" spans="1:18" ht="17.399999999999999" x14ac:dyDescent="0.4">
      <c r="A40" s="12" t="s">
        <v>773</v>
      </c>
      <c r="B40" s="13">
        <v>198478856689</v>
      </c>
      <c r="C40" s="13">
        <v>201113201462</v>
      </c>
      <c r="D40" s="13">
        <v>2634344772</v>
      </c>
      <c r="E40" s="13">
        <v>6531272</v>
      </c>
      <c r="F40" s="13">
        <v>4183953</v>
      </c>
      <c r="G40" s="13">
        <v>48068</v>
      </c>
      <c r="H40" s="13">
        <v>30792</v>
      </c>
      <c r="I40" s="14" t="s">
        <v>95</v>
      </c>
      <c r="J40" s="14" t="s">
        <v>24</v>
      </c>
      <c r="K40" s="16" t="s">
        <v>25</v>
      </c>
      <c r="L40" s="16" t="s">
        <v>25</v>
      </c>
      <c r="M40" s="16" t="s">
        <v>106</v>
      </c>
      <c r="N40" s="15" t="s">
        <v>768</v>
      </c>
      <c r="O40" s="15" t="s">
        <v>749</v>
      </c>
      <c r="P40" s="20">
        <f t="shared" si="0"/>
        <v>0.37656692799103031</v>
      </c>
      <c r="Q40" s="20">
        <f t="shared" si="3"/>
        <v>-1.8733580510225268E-2</v>
      </c>
      <c r="R40" s="20">
        <f t="shared" si="4"/>
        <v>-2.7973715965339346E-2</v>
      </c>
    </row>
    <row r="41" spans="1:18" ht="17.399999999999999" x14ac:dyDescent="0.4">
      <c r="A41" s="12" t="s">
        <v>774</v>
      </c>
      <c r="B41" s="13">
        <v>184766123882</v>
      </c>
      <c r="C41" s="13">
        <v>187744738833</v>
      </c>
      <c r="D41" s="13">
        <v>2978614951</v>
      </c>
      <c r="E41" s="13">
        <v>6373103</v>
      </c>
      <c r="F41" s="13">
        <v>4160702</v>
      </c>
      <c r="G41" s="13">
        <v>45123</v>
      </c>
      <c r="H41" s="13">
        <v>29459</v>
      </c>
      <c r="I41" s="14" t="s">
        <v>41</v>
      </c>
      <c r="J41" s="14" t="s">
        <v>24</v>
      </c>
      <c r="K41" s="16" t="s">
        <v>127</v>
      </c>
      <c r="L41" s="16" t="s">
        <v>166</v>
      </c>
      <c r="M41" s="15" t="s">
        <v>775</v>
      </c>
      <c r="N41" s="16" t="s">
        <v>182</v>
      </c>
      <c r="O41" s="16" t="s">
        <v>424</v>
      </c>
      <c r="P41" s="20">
        <f t="shared" si="0"/>
        <v>4.6297094971619809E-2</v>
      </c>
      <c r="Q41" s="20">
        <f t="shared" si="3"/>
        <v>6.2383241610763683E-3</v>
      </c>
      <c r="R41" s="20">
        <f t="shared" si="4"/>
        <v>8.7321075988099311E-4</v>
      </c>
    </row>
    <row r="42" spans="1:18" ht="17.399999999999999" x14ac:dyDescent="0.4">
      <c r="A42" s="12" t="s">
        <v>776</v>
      </c>
      <c r="B42" s="13">
        <v>184636086001</v>
      </c>
      <c r="C42" s="13">
        <v>187449934523</v>
      </c>
      <c r="D42" s="13">
        <v>2813848523</v>
      </c>
      <c r="E42" s="13">
        <v>6278901</v>
      </c>
      <c r="F42" s="13">
        <v>4137704</v>
      </c>
      <c r="G42" s="13">
        <v>45303</v>
      </c>
      <c r="H42" s="13">
        <v>29854</v>
      </c>
      <c r="I42" s="14" t="s">
        <v>41</v>
      </c>
      <c r="J42" s="14" t="s">
        <v>24</v>
      </c>
      <c r="K42" s="16" t="s">
        <v>81</v>
      </c>
      <c r="L42" s="16" t="s">
        <v>87</v>
      </c>
      <c r="M42" s="16" t="s">
        <v>542</v>
      </c>
      <c r="N42" s="16" t="s">
        <v>161</v>
      </c>
      <c r="O42" s="16" t="s">
        <v>424</v>
      </c>
      <c r="P42" s="20">
        <f t="shared" si="0"/>
        <v>0.12159953209151031</v>
      </c>
      <c r="Q42" s="20">
        <f t="shared" si="3"/>
        <v>5.0682025373392073E-2</v>
      </c>
      <c r="R42" s="20">
        <f t="shared" si="4"/>
        <v>5.1708462232755312E-2</v>
      </c>
    </row>
    <row r="43" spans="1:18" ht="17.399999999999999" x14ac:dyDescent="0.4">
      <c r="A43" s="12" t="s">
        <v>777</v>
      </c>
      <c r="B43" s="13">
        <v>148858358252</v>
      </c>
      <c r="C43" s="13">
        <v>151091489531</v>
      </c>
      <c r="D43" s="13">
        <v>2233131280</v>
      </c>
      <c r="E43" s="13">
        <v>6131037</v>
      </c>
      <c r="F43" s="13">
        <v>4076676</v>
      </c>
      <c r="G43" s="13">
        <v>37062</v>
      </c>
      <c r="H43" s="13">
        <v>24644</v>
      </c>
      <c r="I43" s="14" t="s">
        <v>41</v>
      </c>
      <c r="J43" s="14" t="s">
        <v>24</v>
      </c>
      <c r="K43" s="16" t="s">
        <v>136</v>
      </c>
      <c r="L43" s="16" t="s">
        <v>136</v>
      </c>
      <c r="M43" s="16" t="s">
        <v>234</v>
      </c>
      <c r="N43" s="16" t="s">
        <v>182</v>
      </c>
      <c r="O43" s="16" t="s">
        <v>161</v>
      </c>
      <c r="P43" s="20">
        <f t="shared" si="0"/>
        <v>-0.28952817055815983</v>
      </c>
      <c r="Q43" s="20">
        <f t="shared" si="3"/>
        <v>2.7489837866735489E-2</v>
      </c>
      <c r="R43" s="20">
        <f t="shared" si="4"/>
        <v>1.4767446202098399E-2</v>
      </c>
    </row>
    <row r="44" spans="1:18" ht="17.399999999999999" x14ac:dyDescent="0.4">
      <c r="A44" s="12" t="s">
        <v>778</v>
      </c>
      <c r="B44" s="13">
        <v>180066142541</v>
      </c>
      <c r="C44" s="13">
        <v>182819566597</v>
      </c>
      <c r="D44" s="13">
        <v>2753424056</v>
      </c>
      <c r="E44" s="13">
        <v>5611376</v>
      </c>
      <c r="F44" s="13">
        <v>3819866</v>
      </c>
      <c r="G44" s="13">
        <v>47860</v>
      </c>
      <c r="H44" s="13">
        <v>32580</v>
      </c>
      <c r="I44" s="14" t="s">
        <v>41</v>
      </c>
      <c r="J44" s="14" t="s">
        <v>24</v>
      </c>
      <c r="K44" s="15" t="s">
        <v>779</v>
      </c>
      <c r="L44" s="15" t="s">
        <v>779</v>
      </c>
      <c r="M44" s="15" t="s">
        <v>780</v>
      </c>
      <c r="N44" s="16" t="s">
        <v>55</v>
      </c>
      <c r="O44" s="16" t="s">
        <v>195</v>
      </c>
      <c r="P44" s="20">
        <f t="shared" si="0"/>
        <v>-0.11474176299543018</v>
      </c>
      <c r="Q44" s="20">
        <f t="shared" si="3"/>
        <v>-3.6149611299396596E-2</v>
      </c>
      <c r="R44" s="20">
        <f t="shared" si="4"/>
        <v>-3.0311445950278619E-2</v>
      </c>
    </row>
    <row r="45" spans="1:18" ht="17.399999999999999" x14ac:dyDescent="0.4">
      <c r="A45" s="12" t="s">
        <v>781</v>
      </c>
      <c r="B45" s="13">
        <v>166060168924</v>
      </c>
      <c r="C45" s="13">
        <v>168783952227</v>
      </c>
      <c r="D45" s="13">
        <v>2723783303</v>
      </c>
      <c r="E45" s="13">
        <v>4719512</v>
      </c>
      <c r="F45" s="13">
        <v>3419086</v>
      </c>
      <c r="G45" s="13">
        <v>49365</v>
      </c>
      <c r="H45" s="13">
        <v>35763</v>
      </c>
      <c r="I45" s="14" t="s">
        <v>23</v>
      </c>
      <c r="J45" s="14" t="s">
        <v>24</v>
      </c>
      <c r="K45" s="16" t="s">
        <v>85</v>
      </c>
      <c r="L45" s="16" t="s">
        <v>316</v>
      </c>
      <c r="M45" s="16" t="s">
        <v>450</v>
      </c>
      <c r="N45" s="16" t="s">
        <v>782</v>
      </c>
      <c r="O45" s="16" t="s">
        <v>243</v>
      </c>
      <c r="P45" s="20">
        <f t="shared" si="0"/>
        <v>-9.0804405462538637E-2</v>
      </c>
      <c r="Q45" s="20">
        <f t="shared" si="3"/>
        <v>-5.6842128823506727E-2</v>
      </c>
      <c r="R45" s="20">
        <f t="shared" si="4"/>
        <v>-4.0160914280580939E-2</v>
      </c>
    </row>
    <row r="46" spans="1:18" ht="17.399999999999999" x14ac:dyDescent="0.4">
      <c r="A46" s="12" t="s">
        <v>783</v>
      </c>
      <c r="B46" s="13">
        <v>223719184470</v>
      </c>
      <c r="C46" s="13">
        <v>226593479910</v>
      </c>
      <c r="D46" s="13">
        <v>2874295441</v>
      </c>
      <c r="E46" s="13">
        <v>5045641</v>
      </c>
      <c r="F46" s="13">
        <v>3640396</v>
      </c>
      <c r="G46" s="13">
        <v>62244</v>
      </c>
      <c r="H46" s="13">
        <v>44909</v>
      </c>
      <c r="I46" s="14" t="s">
        <v>23</v>
      </c>
      <c r="J46" s="14" t="s">
        <v>24</v>
      </c>
      <c r="K46" s="15" t="s">
        <v>298</v>
      </c>
      <c r="L46" s="15" t="s">
        <v>784</v>
      </c>
      <c r="M46" s="15" t="s">
        <v>174</v>
      </c>
      <c r="N46" s="15" t="s">
        <v>362</v>
      </c>
      <c r="O46" s="15" t="s">
        <v>74</v>
      </c>
      <c r="P46" s="20">
        <f t="shared" si="0"/>
        <v>-3.1511268477063939E-2</v>
      </c>
      <c r="Q46" s="20">
        <f t="shared" si="3"/>
        <v>-4.3793848852616548E-3</v>
      </c>
      <c r="R46" s="20">
        <f t="shared" si="4"/>
        <v>1.5026407632160585E-3</v>
      </c>
    </row>
    <row r="47" spans="1:18" ht="17.399999999999999" x14ac:dyDescent="0.4">
      <c r="A47" s="12" t="s">
        <v>785</v>
      </c>
      <c r="B47" s="13">
        <v>196542790186</v>
      </c>
      <c r="C47" s="13">
        <v>198973018958</v>
      </c>
      <c r="D47" s="13">
        <v>2430228772</v>
      </c>
      <c r="E47" s="13">
        <v>6542046</v>
      </c>
      <c r="F47" s="13">
        <v>4270109</v>
      </c>
      <c r="G47" s="13">
        <v>46597</v>
      </c>
      <c r="H47" s="13">
        <v>30414</v>
      </c>
      <c r="I47" s="14" t="s">
        <v>41</v>
      </c>
      <c r="J47" s="14" t="s">
        <v>24</v>
      </c>
      <c r="K47" s="16" t="s">
        <v>577</v>
      </c>
      <c r="L47" s="16" t="s">
        <v>275</v>
      </c>
      <c r="M47" s="16" t="s">
        <v>374</v>
      </c>
      <c r="N47" s="15" t="s">
        <v>415</v>
      </c>
      <c r="O47" s="15" t="s">
        <v>786</v>
      </c>
      <c r="P47" s="20">
        <f t="shared" si="0"/>
        <v>-9.7545226494006685E-3</v>
      </c>
      <c r="Q47" s="20">
        <f t="shared" si="3"/>
        <v>1.6496020989479538E-3</v>
      </c>
      <c r="R47" s="20">
        <f t="shared" si="4"/>
        <v>2.0592009518271358E-2</v>
      </c>
    </row>
    <row r="48" spans="1:18" ht="17.399999999999999" x14ac:dyDescent="0.4">
      <c r="A48" s="12" t="s">
        <v>787</v>
      </c>
      <c r="B48" s="13">
        <v>178483273414</v>
      </c>
      <c r="C48" s="13">
        <v>181252879139</v>
      </c>
      <c r="D48" s="13">
        <v>2769605725</v>
      </c>
      <c r="E48" s="13">
        <v>6189962</v>
      </c>
      <c r="F48" s="13">
        <v>4075160</v>
      </c>
      <c r="G48" s="13">
        <v>44477</v>
      </c>
      <c r="H48" s="13">
        <v>29282</v>
      </c>
      <c r="I48" s="14" t="s">
        <v>41</v>
      </c>
      <c r="J48" s="14" t="s">
        <v>24</v>
      </c>
      <c r="K48" s="16" t="s">
        <v>99</v>
      </c>
      <c r="L48" s="16" t="s">
        <v>496</v>
      </c>
      <c r="M48" s="15" t="s">
        <v>673</v>
      </c>
      <c r="N48" s="16" t="s">
        <v>269</v>
      </c>
      <c r="O48" s="16" t="s">
        <v>240</v>
      </c>
      <c r="P48" s="20">
        <f t="shared" si="0"/>
        <v>-3.4004342008129761E-2</v>
      </c>
      <c r="Q48" s="20">
        <f t="shared" si="3"/>
        <v>-2.873655109606733E-2</v>
      </c>
      <c r="R48" s="20">
        <f t="shared" si="4"/>
        <v>-2.0559511351690173E-2</v>
      </c>
    </row>
    <row r="49" spans="1:18" ht="17.399999999999999" x14ac:dyDescent="0.4">
      <c r="A49" s="12" t="s">
        <v>788</v>
      </c>
      <c r="B49" s="13">
        <v>174231341792</v>
      </c>
      <c r="C49" s="13">
        <v>176822643016</v>
      </c>
      <c r="D49" s="13">
        <v>2591301224</v>
      </c>
      <c r="E49" s="13">
        <v>5998701</v>
      </c>
      <c r="F49" s="13">
        <v>3958490</v>
      </c>
      <c r="G49" s="13">
        <v>44669</v>
      </c>
      <c r="H49" s="13">
        <v>29477</v>
      </c>
      <c r="I49" s="14" t="s">
        <v>41</v>
      </c>
      <c r="J49" s="14" t="s">
        <v>24</v>
      </c>
      <c r="K49" s="16" t="s">
        <v>182</v>
      </c>
      <c r="L49" s="16" t="s">
        <v>182</v>
      </c>
      <c r="M49" s="16" t="s">
        <v>58</v>
      </c>
      <c r="N49" s="16" t="s">
        <v>123</v>
      </c>
      <c r="O49" s="16" t="s">
        <v>205</v>
      </c>
      <c r="P49" s="20">
        <f t="shared" si="0"/>
        <v>-5.6352712161281668E-2</v>
      </c>
      <c r="Q49" s="20">
        <f t="shared" si="3"/>
        <v>-4.4625643882583908E-2</v>
      </c>
      <c r="R49" s="20">
        <f t="shared" si="4"/>
        <v>-4.3312426408462279E-2</v>
      </c>
    </row>
    <row r="50" spans="1:18" ht="17.399999999999999" x14ac:dyDescent="0.4">
      <c r="A50" s="12" t="s">
        <v>789</v>
      </c>
      <c r="B50" s="13">
        <v>134419739041</v>
      </c>
      <c r="C50" s="13">
        <v>136481177349</v>
      </c>
      <c r="D50" s="13">
        <v>2061438308</v>
      </c>
      <c r="E50" s="13">
        <v>5462513</v>
      </c>
      <c r="F50" s="13">
        <v>3732863</v>
      </c>
      <c r="G50" s="13">
        <v>36562</v>
      </c>
      <c r="H50" s="13">
        <v>24985</v>
      </c>
      <c r="I50" s="14" t="s">
        <v>41</v>
      </c>
      <c r="J50" s="14" t="s">
        <v>24</v>
      </c>
      <c r="K50" s="16" t="s">
        <v>647</v>
      </c>
      <c r="L50" s="16" t="s">
        <v>647</v>
      </c>
      <c r="M50" s="16" t="s">
        <v>472</v>
      </c>
      <c r="N50" s="16" t="s">
        <v>496</v>
      </c>
      <c r="O50" s="16" t="s">
        <v>270</v>
      </c>
      <c r="P50" s="20">
        <f t="shared" si="0"/>
        <v>-9.6995690269249688E-2</v>
      </c>
      <c r="Q50" s="20">
        <f t="shared" si="3"/>
        <v>-0.10903930281288467</v>
      </c>
      <c r="R50" s="20">
        <f t="shared" si="4"/>
        <v>-8.433660168235102E-2</v>
      </c>
    </row>
    <row r="51" spans="1:18" ht="17.399999999999999" x14ac:dyDescent="0.4">
      <c r="A51" s="12" t="s">
        <v>671</v>
      </c>
      <c r="B51" s="13">
        <v>153309655710</v>
      </c>
      <c r="C51" s="13">
        <v>155579211059</v>
      </c>
      <c r="D51" s="13">
        <v>2269555349</v>
      </c>
      <c r="E51" s="13">
        <v>4778327</v>
      </c>
      <c r="F51" s="13">
        <v>3437973</v>
      </c>
      <c r="G51" s="13">
        <v>45253</v>
      </c>
      <c r="H51" s="13">
        <v>32559</v>
      </c>
      <c r="I51" s="14" t="s">
        <v>23</v>
      </c>
      <c r="J51" s="14" t="s">
        <v>24</v>
      </c>
      <c r="K51" s="15" t="s">
        <v>672</v>
      </c>
      <c r="L51" s="15" t="s">
        <v>673</v>
      </c>
      <c r="M51" s="15" t="s">
        <v>674</v>
      </c>
      <c r="N51" s="16" t="s">
        <v>189</v>
      </c>
      <c r="O51" s="16" t="s">
        <v>132</v>
      </c>
      <c r="P51" s="20">
        <f t="shared" si="0"/>
        <v>-0.14859254745743056</v>
      </c>
      <c r="Q51" s="20">
        <f t="shared" si="3"/>
        <v>-0.14845716986350585</v>
      </c>
      <c r="R51" s="20">
        <f t="shared" si="4"/>
        <v>-9.997549652265289E-2</v>
      </c>
    </row>
    <row r="52" spans="1:18" ht="17.399999999999999" x14ac:dyDescent="0.4">
      <c r="A52" s="12" t="s">
        <v>675</v>
      </c>
      <c r="B52" s="13">
        <v>164473328919</v>
      </c>
      <c r="C52" s="13">
        <v>166723812632</v>
      </c>
      <c r="D52" s="13">
        <v>2250483713</v>
      </c>
      <c r="E52" s="13">
        <v>4693052</v>
      </c>
      <c r="F52" s="13">
        <v>3407254</v>
      </c>
      <c r="G52" s="13">
        <v>48932</v>
      </c>
      <c r="H52" s="13">
        <v>35526</v>
      </c>
      <c r="I52" s="14" t="s">
        <v>23</v>
      </c>
      <c r="J52" s="14" t="s">
        <v>24</v>
      </c>
      <c r="K52" s="15" t="s">
        <v>676</v>
      </c>
      <c r="L52" s="15" t="s">
        <v>677</v>
      </c>
      <c r="M52" s="16" t="s">
        <v>428</v>
      </c>
      <c r="N52" s="16" t="s">
        <v>93</v>
      </c>
      <c r="O52" s="16" t="s">
        <v>231</v>
      </c>
      <c r="P52" s="20">
        <f t="shared" si="0"/>
        <v>-9.5558135059241201E-3</v>
      </c>
      <c r="Q52" s="20">
        <f t="shared" si="3"/>
        <v>-5.6065118597007487E-3</v>
      </c>
      <c r="R52" s="20">
        <f t="shared" si="4"/>
        <v>-3.4605739662588188E-3</v>
      </c>
    </row>
    <row r="53" spans="1:18" ht="17.399999999999999" x14ac:dyDescent="0.4">
      <c r="A53" s="12" t="s">
        <v>678</v>
      </c>
      <c r="B53" s="13">
        <v>219591051410</v>
      </c>
      <c r="C53" s="13">
        <v>222328311070</v>
      </c>
      <c r="D53" s="13">
        <v>2737259660</v>
      </c>
      <c r="E53" s="13">
        <v>4929945</v>
      </c>
      <c r="F53" s="13">
        <v>3572024</v>
      </c>
      <c r="G53" s="13">
        <v>62242</v>
      </c>
      <c r="H53" s="13">
        <v>45098</v>
      </c>
      <c r="I53" s="14" t="s">
        <v>23</v>
      </c>
      <c r="J53" s="14" t="s">
        <v>24</v>
      </c>
      <c r="K53" s="15" t="s">
        <v>586</v>
      </c>
      <c r="L53" s="15" t="s">
        <v>200</v>
      </c>
      <c r="M53" s="15" t="s">
        <v>469</v>
      </c>
      <c r="N53" s="15" t="s">
        <v>199</v>
      </c>
      <c r="O53" s="15" t="s">
        <v>345</v>
      </c>
      <c r="P53" s="20">
        <f t="shared" si="0"/>
        <v>-1.8452297999296385E-2</v>
      </c>
      <c r="Q53" s="20">
        <f t="shared" si="3"/>
        <v>-2.2929891365636199E-2</v>
      </c>
      <c r="R53" s="20">
        <f t="shared" si="4"/>
        <v>-1.8781473224341528E-2</v>
      </c>
    </row>
    <row r="54" spans="1:18" ht="17.399999999999999" x14ac:dyDescent="0.4">
      <c r="A54" s="12" t="s">
        <v>679</v>
      </c>
      <c r="B54" s="13">
        <v>187753327183</v>
      </c>
      <c r="C54" s="13">
        <v>190013433970</v>
      </c>
      <c r="D54" s="13">
        <v>2260106787</v>
      </c>
      <c r="E54" s="13">
        <v>6521399</v>
      </c>
      <c r="F54" s="13">
        <v>4126463</v>
      </c>
      <c r="G54" s="13">
        <v>46048</v>
      </c>
      <c r="H54" s="13">
        <v>29137</v>
      </c>
      <c r="I54" s="14" t="s">
        <v>95</v>
      </c>
      <c r="J54" s="14" t="s">
        <v>24</v>
      </c>
      <c r="K54" s="16" t="s">
        <v>219</v>
      </c>
      <c r="L54" s="16" t="s">
        <v>219</v>
      </c>
      <c r="M54" s="16" t="s">
        <v>680</v>
      </c>
      <c r="N54" s="15" t="s">
        <v>681</v>
      </c>
      <c r="O54" s="15" t="s">
        <v>605</v>
      </c>
      <c r="P54" s="20">
        <f t="shared" si="0"/>
        <v>-4.4720353235455826E-2</v>
      </c>
      <c r="Q54" s="20">
        <f t="shared" si="3"/>
        <v>-3.1560462888827133E-3</v>
      </c>
      <c r="R54" s="20">
        <f t="shared" si="4"/>
        <v>-3.3639890691314907E-2</v>
      </c>
    </row>
    <row r="55" spans="1:18" ht="17.399999999999999" x14ac:dyDescent="0.4">
      <c r="A55" s="12" t="s">
        <v>682</v>
      </c>
      <c r="B55" s="13">
        <v>175014257836</v>
      </c>
      <c r="C55" s="13">
        <v>177732174563</v>
      </c>
      <c r="D55" s="13">
        <v>2717916727</v>
      </c>
      <c r="E55" s="13">
        <v>6370363</v>
      </c>
      <c r="F55" s="13">
        <v>4061241</v>
      </c>
      <c r="G55" s="13">
        <v>43763</v>
      </c>
      <c r="H55" s="13">
        <v>27900</v>
      </c>
      <c r="I55" s="14" t="s">
        <v>95</v>
      </c>
      <c r="J55" s="14" t="s">
        <v>24</v>
      </c>
      <c r="K55" s="16" t="s">
        <v>220</v>
      </c>
      <c r="L55" s="16" t="s">
        <v>562</v>
      </c>
      <c r="M55" s="15" t="s">
        <v>257</v>
      </c>
      <c r="N55" s="16" t="s">
        <v>92</v>
      </c>
      <c r="O55" s="16" t="s">
        <v>426</v>
      </c>
      <c r="P55" s="20">
        <f t="shared" si="0"/>
        <v>-1.9436082225775083E-2</v>
      </c>
      <c r="Q55" s="20">
        <f t="shared" si="3"/>
        <v>2.9144120755507062E-2</v>
      </c>
      <c r="R55" s="20">
        <f t="shared" si="4"/>
        <v>-3.4155714131469685E-3</v>
      </c>
    </row>
    <row r="56" spans="1:18" ht="17.399999999999999" x14ac:dyDescent="0.4">
      <c r="A56" s="12" t="s">
        <v>683</v>
      </c>
      <c r="B56" s="13">
        <v>180583136882</v>
      </c>
      <c r="C56" s="13">
        <v>183043147845</v>
      </c>
      <c r="D56" s="13">
        <v>2460010963</v>
      </c>
      <c r="E56" s="13">
        <v>6365516</v>
      </c>
      <c r="F56" s="13">
        <v>4078378</v>
      </c>
      <c r="G56" s="13">
        <v>44881</v>
      </c>
      <c r="H56" s="13">
        <v>28755</v>
      </c>
      <c r="I56" s="14" t="s">
        <v>95</v>
      </c>
      <c r="J56" s="14" t="s">
        <v>24</v>
      </c>
      <c r="K56" s="15" t="s">
        <v>126</v>
      </c>
      <c r="L56" s="15" t="s">
        <v>286</v>
      </c>
      <c r="M56" s="16" t="s">
        <v>453</v>
      </c>
      <c r="N56" s="16" t="s">
        <v>81</v>
      </c>
      <c r="O56" s="15" t="s">
        <v>285</v>
      </c>
      <c r="P56" s="20">
        <f t="shared" si="0"/>
        <v>3.6456099256716216E-2</v>
      </c>
      <c r="Q56" s="20">
        <f t="shared" si="3"/>
        <v>6.1149072107444594E-2</v>
      </c>
      <c r="R56" s="20">
        <f t="shared" si="4"/>
        <v>3.0286296037125269E-2</v>
      </c>
    </row>
    <row r="57" spans="1:18" ht="17.399999999999999" x14ac:dyDescent="0.4">
      <c r="A57" s="12" t="s">
        <v>684</v>
      </c>
      <c r="B57" s="13">
        <v>144852623934</v>
      </c>
      <c r="C57" s="13">
        <v>146847567597</v>
      </c>
      <c r="D57" s="13">
        <v>1994943663</v>
      </c>
      <c r="E57" s="13">
        <v>6182031</v>
      </c>
      <c r="F57" s="13">
        <v>4004994</v>
      </c>
      <c r="G57" s="13">
        <v>36666</v>
      </c>
      <c r="H57" s="13">
        <v>23754</v>
      </c>
      <c r="I57" s="14" t="s">
        <v>41</v>
      </c>
      <c r="J57" s="14" t="s">
        <v>24</v>
      </c>
      <c r="K57" s="16" t="s">
        <v>407</v>
      </c>
      <c r="L57" s="16" t="s">
        <v>407</v>
      </c>
      <c r="M57" s="16" t="s">
        <v>685</v>
      </c>
      <c r="N57" s="16" t="s">
        <v>205</v>
      </c>
      <c r="O57" s="16" t="s">
        <v>93</v>
      </c>
      <c r="P57" s="20">
        <f t="shared" si="0"/>
        <v>7.7614232607740863E-2</v>
      </c>
      <c r="Q57" s="20">
        <f t="shared" si="3"/>
        <v>0.13171922886041645</v>
      </c>
      <c r="R57" s="20">
        <f t="shared" si="4"/>
        <v>7.2901416419514989E-2</v>
      </c>
    </row>
    <row r="58" spans="1:18" ht="17.399999999999999" x14ac:dyDescent="0.4">
      <c r="A58" s="12" t="s">
        <v>686</v>
      </c>
      <c r="B58" s="13">
        <v>172614370984</v>
      </c>
      <c r="C58" s="13">
        <v>175253960411</v>
      </c>
      <c r="D58" s="13">
        <v>2639589427</v>
      </c>
      <c r="E58" s="13">
        <v>5629503</v>
      </c>
      <c r="F58" s="13">
        <v>3706993</v>
      </c>
      <c r="G58" s="13">
        <v>47277</v>
      </c>
      <c r="H58" s="13">
        <v>31131</v>
      </c>
      <c r="I58" s="14" t="s">
        <v>41</v>
      </c>
      <c r="J58" s="14" t="s">
        <v>24</v>
      </c>
      <c r="K58" s="15" t="s">
        <v>687</v>
      </c>
      <c r="L58" s="15" t="s">
        <v>456</v>
      </c>
      <c r="M58" s="15" t="s">
        <v>681</v>
      </c>
      <c r="N58" s="16" t="s">
        <v>496</v>
      </c>
      <c r="O58" s="16" t="s">
        <v>294</v>
      </c>
      <c r="P58" s="20">
        <f t="shared" si="0"/>
        <v>0.12591976144357619</v>
      </c>
      <c r="Q58" s="20">
        <f t="shared" si="3"/>
        <v>0.17813263931078807</v>
      </c>
      <c r="R58" s="20">
        <f t="shared" si="4"/>
        <v>7.8249596491886356E-2</v>
      </c>
    </row>
    <row r="59" spans="1:18" ht="17.399999999999999" x14ac:dyDescent="0.4">
      <c r="A59" s="12" t="s">
        <v>688</v>
      </c>
      <c r="B59" s="13">
        <v>156315205006</v>
      </c>
      <c r="C59" s="13">
        <v>158699717922</v>
      </c>
      <c r="D59" s="13">
        <v>2384512916</v>
      </c>
      <c r="E59" s="13">
        <v>4607540</v>
      </c>
      <c r="F59" s="13">
        <v>3345126</v>
      </c>
      <c r="G59" s="13">
        <v>47442</v>
      </c>
      <c r="H59" s="13">
        <v>34443</v>
      </c>
      <c r="I59" s="14" t="s">
        <v>23</v>
      </c>
      <c r="J59" s="14" t="s">
        <v>24</v>
      </c>
      <c r="K59" s="16" t="s">
        <v>565</v>
      </c>
      <c r="L59" s="16" t="s">
        <v>565</v>
      </c>
      <c r="M59" s="16" t="s">
        <v>509</v>
      </c>
      <c r="N59" s="16" t="s">
        <v>689</v>
      </c>
      <c r="O59" s="16" t="s">
        <v>27</v>
      </c>
      <c r="P59" s="20">
        <f t="shared" si="0"/>
        <v>-4.9601500538836434E-2</v>
      </c>
      <c r="Q59" s="20">
        <f t="shared" si="3"/>
        <v>-1.8220978587068712E-2</v>
      </c>
      <c r="R59" s="20">
        <f t="shared" si="4"/>
        <v>-1.8234038319420859E-2</v>
      </c>
    </row>
    <row r="60" spans="1:18" ht="17.399999999999999" x14ac:dyDescent="0.4">
      <c r="A60" s="12" t="s">
        <v>690</v>
      </c>
      <c r="B60" s="13">
        <v>212802899265</v>
      </c>
      <c r="C60" s="13">
        <v>215353675385</v>
      </c>
      <c r="D60" s="13">
        <v>2550776120</v>
      </c>
      <c r="E60" s="13">
        <v>4891513</v>
      </c>
      <c r="F60" s="13">
        <v>3526961</v>
      </c>
      <c r="G60" s="13">
        <v>61059</v>
      </c>
      <c r="H60" s="13">
        <v>44026</v>
      </c>
      <c r="I60" s="14" t="s">
        <v>23</v>
      </c>
      <c r="J60" s="14" t="s">
        <v>24</v>
      </c>
      <c r="K60" s="15" t="s">
        <v>327</v>
      </c>
      <c r="L60" s="15" t="s">
        <v>691</v>
      </c>
      <c r="M60" s="15" t="s">
        <v>347</v>
      </c>
      <c r="N60" s="15" t="s">
        <v>416</v>
      </c>
      <c r="O60" s="15" t="s">
        <v>253</v>
      </c>
      <c r="P60" s="20">
        <f t="shared" si="0"/>
        <v>-3.0912699317267686E-2</v>
      </c>
      <c r="Q60" s="20">
        <f t="shared" si="3"/>
        <v>-7.7956244947965953E-3</v>
      </c>
      <c r="R60" s="20">
        <f t="shared" si="4"/>
        <v>-1.2615536737715089E-2</v>
      </c>
    </row>
    <row r="61" spans="1:18" ht="17.399999999999999" x14ac:dyDescent="0.4">
      <c r="A61" s="12" t="s">
        <v>692</v>
      </c>
      <c r="B61" s="13">
        <v>192028003726</v>
      </c>
      <c r="C61" s="13">
        <v>194208819653</v>
      </c>
      <c r="D61" s="13">
        <v>2180815927</v>
      </c>
      <c r="E61" s="13">
        <v>6629271</v>
      </c>
      <c r="F61" s="13">
        <v>4165202</v>
      </c>
      <c r="G61" s="13">
        <v>46627</v>
      </c>
      <c r="H61" s="13">
        <v>29296</v>
      </c>
      <c r="I61" s="14" t="s">
        <v>95</v>
      </c>
      <c r="J61" s="14" t="s">
        <v>24</v>
      </c>
      <c r="K61" s="16" t="s">
        <v>27</v>
      </c>
      <c r="L61" s="16" t="s">
        <v>27</v>
      </c>
      <c r="M61" s="16" t="s">
        <v>219</v>
      </c>
      <c r="N61" s="15" t="s">
        <v>693</v>
      </c>
      <c r="O61" s="15" t="s">
        <v>627</v>
      </c>
      <c r="P61" s="20">
        <f t="shared" si="0"/>
        <v>2.2767514201405045E-2</v>
      </c>
      <c r="Q61" s="20">
        <f t="shared" si="3"/>
        <v>1.6541236013928914E-2</v>
      </c>
      <c r="R61" s="20">
        <f t="shared" si="4"/>
        <v>9.3879431367735518E-3</v>
      </c>
    </row>
    <row r="62" spans="1:18" ht="17.399999999999999" x14ac:dyDescent="0.4">
      <c r="A62" s="12" t="s">
        <v>694</v>
      </c>
      <c r="B62" s="13">
        <v>181199005836</v>
      </c>
      <c r="C62" s="13">
        <v>183847171581</v>
      </c>
      <c r="D62" s="13">
        <v>2648165746</v>
      </c>
      <c r="E62" s="13">
        <v>6511795</v>
      </c>
      <c r="F62" s="13">
        <v>4107389</v>
      </c>
      <c r="G62" s="13">
        <v>44760</v>
      </c>
      <c r="H62" s="13">
        <v>28233</v>
      </c>
      <c r="I62" s="14" t="s">
        <v>95</v>
      </c>
      <c r="J62" s="14" t="s">
        <v>24</v>
      </c>
      <c r="K62" s="16" t="s">
        <v>392</v>
      </c>
      <c r="L62" s="16" t="s">
        <v>37</v>
      </c>
      <c r="M62" s="15" t="s">
        <v>404</v>
      </c>
      <c r="N62" s="16" t="s">
        <v>93</v>
      </c>
      <c r="O62" s="16" t="s">
        <v>248</v>
      </c>
      <c r="P62" s="20">
        <f t="shared" si="0"/>
        <v>3.5338537993833165E-2</v>
      </c>
      <c r="Q62" s="20">
        <f t="shared" si="3"/>
        <v>2.2201560570410193E-2</v>
      </c>
      <c r="R62" s="20">
        <f t="shared" si="4"/>
        <v>1.1363029182459253E-2</v>
      </c>
    </row>
    <row r="63" spans="1:18" ht="17.399999999999999" x14ac:dyDescent="0.4">
      <c r="A63" s="12" t="s">
        <v>695</v>
      </c>
      <c r="B63" s="13">
        <v>179982901050</v>
      </c>
      <c r="C63" s="13">
        <v>182444775468</v>
      </c>
      <c r="D63" s="13">
        <v>2461874418</v>
      </c>
      <c r="E63" s="13">
        <v>6269145</v>
      </c>
      <c r="F63" s="13">
        <v>3996769</v>
      </c>
      <c r="G63" s="13">
        <v>45648</v>
      </c>
      <c r="H63" s="13">
        <v>29102</v>
      </c>
      <c r="I63" s="14" t="s">
        <v>95</v>
      </c>
      <c r="J63" s="14" t="s">
        <v>24</v>
      </c>
      <c r="K63" s="16" t="s">
        <v>152</v>
      </c>
      <c r="L63" s="16" t="s">
        <v>428</v>
      </c>
      <c r="M63" s="16" t="s">
        <v>413</v>
      </c>
      <c r="N63" s="16" t="s">
        <v>241</v>
      </c>
      <c r="O63" s="16" t="s">
        <v>389</v>
      </c>
      <c r="P63" s="20">
        <f t="shared" si="0"/>
        <v>-3.3238753206076893E-3</v>
      </c>
      <c r="Q63" s="20">
        <f t="shared" si="3"/>
        <v>-1.5139542497418905E-2</v>
      </c>
      <c r="R63" s="20">
        <f t="shared" si="4"/>
        <v>-2.0010160902201805E-2</v>
      </c>
    </row>
    <row r="64" spans="1:18" ht="17.399999999999999" x14ac:dyDescent="0.4">
      <c r="A64" s="12" t="s">
        <v>696</v>
      </c>
      <c r="B64" s="13">
        <v>147411522170</v>
      </c>
      <c r="C64" s="13">
        <v>149432417581</v>
      </c>
      <c r="D64" s="13">
        <v>2020895412</v>
      </c>
      <c r="E64" s="13">
        <v>6117674</v>
      </c>
      <c r="F64" s="13">
        <v>3961405</v>
      </c>
      <c r="G64" s="13">
        <v>37722</v>
      </c>
      <c r="H64" s="13">
        <v>24426</v>
      </c>
      <c r="I64" s="14" t="s">
        <v>41</v>
      </c>
      <c r="J64" s="14" t="s">
        <v>24</v>
      </c>
      <c r="K64" s="16" t="s">
        <v>697</v>
      </c>
      <c r="L64" s="16" t="s">
        <v>697</v>
      </c>
      <c r="M64" s="16" t="s">
        <v>516</v>
      </c>
      <c r="N64" s="16" t="s">
        <v>182</v>
      </c>
      <c r="O64" s="16" t="s">
        <v>231</v>
      </c>
      <c r="P64" s="20">
        <f t="shared" si="0"/>
        <v>1.7665529049483597E-2</v>
      </c>
      <c r="Q64" s="20">
        <f t="shared" si="3"/>
        <v>-1.0410332785455136E-2</v>
      </c>
      <c r="R64" s="20">
        <f t="shared" si="4"/>
        <v>-1.0883661748307238E-2</v>
      </c>
    </row>
    <row r="65" spans="1:18" ht="17.399999999999999" x14ac:dyDescent="0.4">
      <c r="A65" s="12" t="s">
        <v>698</v>
      </c>
      <c r="B65" s="13">
        <v>176128387709</v>
      </c>
      <c r="C65" s="13">
        <v>178705047622</v>
      </c>
      <c r="D65" s="13">
        <v>2576659913</v>
      </c>
      <c r="E65" s="13">
        <v>5534126</v>
      </c>
      <c r="F65" s="13">
        <v>3656948</v>
      </c>
      <c r="G65" s="13">
        <v>48867</v>
      </c>
      <c r="H65" s="13">
        <v>32291</v>
      </c>
      <c r="I65" s="14" t="s">
        <v>41</v>
      </c>
      <c r="J65" s="14" t="s">
        <v>24</v>
      </c>
      <c r="K65" s="15" t="s">
        <v>280</v>
      </c>
      <c r="L65" s="15" t="s">
        <v>547</v>
      </c>
      <c r="M65" s="15" t="s">
        <v>699</v>
      </c>
      <c r="N65" s="16" t="s">
        <v>453</v>
      </c>
      <c r="O65" s="16" t="s">
        <v>316</v>
      </c>
      <c r="P65" s="20">
        <f t="shared" si="0"/>
        <v>2.0357613940068305E-2</v>
      </c>
      <c r="Q65" s="20">
        <f t="shared" si="3"/>
        <v>-1.6942348196634763E-2</v>
      </c>
      <c r="R65" s="20">
        <f t="shared" si="4"/>
        <v>-1.3500160372571516E-2</v>
      </c>
    </row>
    <row r="66" spans="1:18" ht="17.399999999999999" x14ac:dyDescent="0.4">
      <c r="A66" s="12" t="s">
        <v>700</v>
      </c>
      <c r="B66" s="13">
        <v>160692112649</v>
      </c>
      <c r="C66" s="13">
        <v>163066906887</v>
      </c>
      <c r="D66" s="13">
        <v>2374794238</v>
      </c>
      <c r="E66" s="13">
        <v>4502046</v>
      </c>
      <c r="F66" s="13">
        <v>3242991</v>
      </c>
      <c r="G66" s="13">
        <v>50283</v>
      </c>
      <c r="H66" s="13">
        <v>36221</v>
      </c>
      <c r="I66" s="14" t="s">
        <v>23</v>
      </c>
      <c r="J66" s="14" t="s">
        <v>24</v>
      </c>
      <c r="K66" s="16" t="s">
        <v>165</v>
      </c>
      <c r="L66" s="16" t="s">
        <v>165</v>
      </c>
      <c r="M66" s="16" t="s">
        <v>85</v>
      </c>
      <c r="N66" s="16" t="s">
        <v>169</v>
      </c>
      <c r="O66" s="16" t="s">
        <v>474</v>
      </c>
      <c r="P66" s="20">
        <f t="shared" si="0"/>
        <v>2.8000523959470204E-2</v>
      </c>
      <c r="Q66" s="20">
        <f t="shared" si="3"/>
        <v>-2.2895948814334766E-2</v>
      </c>
      <c r="R66" s="20">
        <f t="shared" si="4"/>
        <v>-3.0532482184527577E-2</v>
      </c>
    </row>
    <row r="67" spans="1:18" ht="17.399999999999999" x14ac:dyDescent="0.4">
      <c r="A67" s="12" t="s">
        <v>701</v>
      </c>
      <c r="B67" s="13">
        <v>219746672779</v>
      </c>
      <c r="C67" s="13">
        <v>222358276784</v>
      </c>
      <c r="D67" s="13">
        <v>2611604005</v>
      </c>
      <c r="E67" s="13">
        <v>4894412</v>
      </c>
      <c r="F67" s="13">
        <v>3522324</v>
      </c>
      <c r="G67" s="13">
        <v>63128</v>
      </c>
      <c r="H67" s="13">
        <v>45431</v>
      </c>
      <c r="I67" s="14" t="s">
        <v>23</v>
      </c>
      <c r="J67" s="14" t="s">
        <v>24</v>
      </c>
      <c r="K67" s="15" t="s">
        <v>702</v>
      </c>
      <c r="L67" s="15" t="s">
        <v>703</v>
      </c>
      <c r="M67" s="15" t="s">
        <v>534</v>
      </c>
      <c r="N67" s="15" t="s">
        <v>704</v>
      </c>
      <c r="O67" s="15" t="s">
        <v>462</v>
      </c>
      <c r="P67" s="20">
        <f t="shared" si="0"/>
        <v>3.2630070069454419E-2</v>
      </c>
      <c r="Q67" s="20">
        <f t="shared" si="3"/>
        <v>5.9265916292157461E-4</v>
      </c>
      <c r="R67" s="20">
        <f t="shared" si="4"/>
        <v>-1.3147295929838748E-3</v>
      </c>
    </row>
    <row r="68" spans="1:18" ht="17.399999999999999" x14ac:dyDescent="0.4">
      <c r="A68" s="12" t="s">
        <v>705</v>
      </c>
      <c r="B68" s="13">
        <v>217582655877</v>
      </c>
      <c r="C68" s="13">
        <v>220081764099</v>
      </c>
      <c r="D68" s="13">
        <v>2499108222</v>
      </c>
      <c r="E68" s="13">
        <v>7563561</v>
      </c>
      <c r="F68" s="13">
        <v>4764079</v>
      </c>
      <c r="G68" s="13">
        <v>46196</v>
      </c>
      <c r="H68" s="13">
        <v>29098</v>
      </c>
      <c r="I68" s="14" t="s">
        <v>95</v>
      </c>
      <c r="J68" s="14" t="s">
        <v>24</v>
      </c>
      <c r="K68" s="16" t="s">
        <v>211</v>
      </c>
      <c r="L68" s="16" t="s">
        <v>211</v>
      </c>
      <c r="M68" s="16" t="s">
        <v>289</v>
      </c>
      <c r="N68" s="15" t="s">
        <v>706</v>
      </c>
      <c r="O68" s="15" t="s">
        <v>43</v>
      </c>
      <c r="P68" s="20">
        <f t="shared" si="0"/>
        <v>0.13307773686729202</v>
      </c>
      <c r="Q68" s="20">
        <f t="shared" si="3"/>
        <v>0.14093404840441731</v>
      </c>
      <c r="R68" s="20">
        <f t="shared" si="4"/>
        <v>0.14378102190481998</v>
      </c>
    </row>
    <row r="69" spans="1:18" ht="17.399999999999999" x14ac:dyDescent="0.4">
      <c r="A69" s="12" t="s">
        <v>707</v>
      </c>
      <c r="B69" s="13">
        <v>242205412541</v>
      </c>
      <c r="C69" s="13">
        <v>245961828297</v>
      </c>
      <c r="D69" s="13">
        <v>3756415756</v>
      </c>
      <c r="E69" s="13">
        <v>7057707</v>
      </c>
      <c r="F69" s="13">
        <v>4506606</v>
      </c>
      <c r="G69" s="13">
        <v>54578</v>
      </c>
      <c r="H69" s="13">
        <v>34850</v>
      </c>
      <c r="I69" s="14" t="s">
        <v>95</v>
      </c>
      <c r="J69" s="14" t="s">
        <v>24</v>
      </c>
      <c r="K69" s="15" t="s">
        <v>708</v>
      </c>
      <c r="L69" s="15" t="s">
        <v>654</v>
      </c>
      <c r="M69" s="15" t="s">
        <v>709</v>
      </c>
      <c r="N69" s="16" t="s">
        <v>65</v>
      </c>
      <c r="O69" s="16" t="s">
        <v>269</v>
      </c>
      <c r="P69" s="20">
        <f t="shared" si="0"/>
        <v>0.33668179592671615</v>
      </c>
      <c r="Q69" s="20">
        <f t="shared" si="3"/>
        <v>8.383433446538166E-2</v>
      </c>
      <c r="R69" s="20">
        <f t="shared" si="4"/>
        <v>9.7194835940788663E-2</v>
      </c>
    </row>
    <row r="70" spans="1:18" ht="17.399999999999999" x14ac:dyDescent="0.4">
      <c r="A70" s="12" t="s">
        <v>710</v>
      </c>
      <c r="B70" s="13">
        <v>182974193383</v>
      </c>
      <c r="C70" s="13">
        <v>185680242340</v>
      </c>
      <c r="D70" s="13">
        <v>2706048956</v>
      </c>
      <c r="E70" s="13">
        <v>6833891</v>
      </c>
      <c r="F70" s="13">
        <v>4384998</v>
      </c>
      <c r="G70" s="13">
        <v>42344</v>
      </c>
      <c r="H70" s="13">
        <v>27171</v>
      </c>
      <c r="I70" s="14" t="s">
        <v>95</v>
      </c>
      <c r="J70" s="14" t="s">
        <v>24</v>
      </c>
      <c r="K70" s="16" t="s">
        <v>498</v>
      </c>
      <c r="L70" s="16" t="s">
        <v>498</v>
      </c>
      <c r="M70" s="16" t="s">
        <v>711</v>
      </c>
      <c r="N70" s="16" t="s">
        <v>120</v>
      </c>
      <c r="O70" s="16" t="s">
        <v>389</v>
      </c>
      <c r="P70" s="20">
        <f t="shared" si="0"/>
        <v>1.6619869529544955E-2</v>
      </c>
      <c r="Q70" s="20">
        <f t="shared" si="3"/>
        <v>9.0083416478642625E-2</v>
      </c>
      <c r="R70" s="20">
        <f t="shared" si="4"/>
        <v>9.7135711370859815E-2</v>
      </c>
    </row>
    <row r="71" spans="1:18" ht="17.399999999999999" x14ac:dyDescent="0.4">
      <c r="A71" s="12" t="s">
        <v>712</v>
      </c>
      <c r="B71" s="13">
        <v>179885954328</v>
      </c>
      <c r="C71" s="13">
        <v>182582754224</v>
      </c>
      <c r="D71" s="13">
        <v>2696799896</v>
      </c>
      <c r="E71" s="13">
        <v>6562252</v>
      </c>
      <c r="F71" s="13">
        <v>4254660</v>
      </c>
      <c r="G71" s="13">
        <v>42914</v>
      </c>
      <c r="H71" s="13">
        <v>27823</v>
      </c>
      <c r="I71" s="14" t="s">
        <v>41</v>
      </c>
      <c r="J71" s="14" t="s">
        <v>24</v>
      </c>
      <c r="K71" s="16" t="s">
        <v>97</v>
      </c>
      <c r="L71" s="16" t="s">
        <v>97</v>
      </c>
      <c r="M71" s="16" t="s">
        <v>238</v>
      </c>
      <c r="N71" s="16" t="s">
        <v>333</v>
      </c>
      <c r="O71" s="16" t="s">
        <v>422</v>
      </c>
      <c r="P71" s="20">
        <f t="shared" si="0"/>
        <v>0.22029778730966074</v>
      </c>
      <c r="Q71" s="20">
        <f t="shared" si="3"/>
        <v>7.2671083813880891E-2</v>
      </c>
      <c r="R71" s="20">
        <f t="shared" si="4"/>
        <v>7.4028027934533322E-2</v>
      </c>
    </row>
    <row r="72" spans="1:18" ht="17.399999999999999" x14ac:dyDescent="0.4">
      <c r="A72" s="12" t="s">
        <v>713</v>
      </c>
      <c r="B72" s="13">
        <v>176123846596</v>
      </c>
      <c r="C72" s="13">
        <v>178833178607</v>
      </c>
      <c r="D72" s="13">
        <v>2709332011</v>
      </c>
      <c r="E72" s="13">
        <v>6065458</v>
      </c>
      <c r="F72" s="13">
        <v>3993407</v>
      </c>
      <c r="G72" s="13">
        <v>44782</v>
      </c>
      <c r="H72" s="13">
        <v>29484</v>
      </c>
      <c r="I72" s="14" t="s">
        <v>41</v>
      </c>
      <c r="J72" s="14" t="s">
        <v>24</v>
      </c>
      <c r="K72" s="16" t="s">
        <v>96</v>
      </c>
      <c r="L72" s="16" t="s">
        <v>96</v>
      </c>
      <c r="M72" s="15" t="s">
        <v>78</v>
      </c>
      <c r="N72" s="16" t="s">
        <v>391</v>
      </c>
      <c r="O72" s="16" t="s">
        <v>317</v>
      </c>
      <c r="P72" s="20">
        <f t="shared" ref="P72:P135" si="5">(B72-B65)/B65</f>
        <v>-2.578297036081909E-5</v>
      </c>
      <c r="Q72" s="20">
        <f t="shared" si="3"/>
        <v>9.6010101685433252E-2</v>
      </c>
      <c r="R72" s="20">
        <f t="shared" si="4"/>
        <v>9.2005409975750269E-2</v>
      </c>
    </row>
    <row r="73" spans="1:18" ht="17.399999999999999" x14ac:dyDescent="0.4">
      <c r="A73" s="12" t="s">
        <v>714</v>
      </c>
      <c r="B73" s="13">
        <v>170517123143</v>
      </c>
      <c r="C73" s="13">
        <v>173073660941</v>
      </c>
      <c r="D73" s="13">
        <v>2556537798</v>
      </c>
      <c r="E73" s="13">
        <v>4875430</v>
      </c>
      <c r="F73" s="13">
        <v>3605314</v>
      </c>
      <c r="G73" s="13">
        <v>48005</v>
      </c>
      <c r="H73" s="13">
        <v>35499</v>
      </c>
      <c r="I73" s="14" t="s">
        <v>23</v>
      </c>
      <c r="J73" s="14" t="s">
        <v>24</v>
      </c>
      <c r="K73" s="16" t="s">
        <v>120</v>
      </c>
      <c r="L73" s="16" t="s">
        <v>120</v>
      </c>
      <c r="M73" s="16" t="s">
        <v>392</v>
      </c>
      <c r="N73" s="16" t="s">
        <v>296</v>
      </c>
      <c r="O73" s="16" t="s">
        <v>509</v>
      </c>
      <c r="P73" s="20">
        <f t="shared" si="5"/>
        <v>6.1141834107693784E-2</v>
      </c>
      <c r="Q73" s="20">
        <f t="shared" si="3"/>
        <v>8.2936513753968752E-2</v>
      </c>
      <c r="R73" s="20">
        <f t="shared" si="4"/>
        <v>0.1117249477411439</v>
      </c>
    </row>
    <row r="74" spans="1:18" ht="17.399999999999999" x14ac:dyDescent="0.4">
      <c r="A74" s="12" t="s">
        <v>715</v>
      </c>
      <c r="B74" s="13">
        <v>148090816284</v>
      </c>
      <c r="C74" s="13">
        <v>149915972407</v>
      </c>
      <c r="D74" s="13">
        <v>1825156124</v>
      </c>
      <c r="E74" s="13">
        <v>5127632</v>
      </c>
      <c r="F74" s="13">
        <v>3773192</v>
      </c>
      <c r="G74" s="13">
        <v>39732</v>
      </c>
      <c r="H74" s="13">
        <v>29237</v>
      </c>
      <c r="I74" s="14" t="s">
        <v>23</v>
      </c>
      <c r="J74" s="14" t="s">
        <v>24</v>
      </c>
      <c r="K74" s="16" t="s">
        <v>69</v>
      </c>
      <c r="L74" s="16" t="s">
        <v>716</v>
      </c>
      <c r="M74" s="16" t="s">
        <v>717</v>
      </c>
      <c r="N74" s="15" t="s">
        <v>718</v>
      </c>
      <c r="O74" s="15" t="s">
        <v>84</v>
      </c>
      <c r="P74" s="20">
        <f t="shared" si="5"/>
        <v>-0.32608392012863169</v>
      </c>
      <c r="Q74" s="20">
        <f t="shared" si="3"/>
        <v>4.7650259111819762E-2</v>
      </c>
      <c r="R74" s="20">
        <f t="shared" si="4"/>
        <v>7.1222295280048059E-2</v>
      </c>
    </row>
    <row r="75" spans="1:18" ht="17.399999999999999" x14ac:dyDescent="0.4">
      <c r="A75" s="12" t="s">
        <v>719</v>
      </c>
      <c r="B75" s="13">
        <v>190529389600</v>
      </c>
      <c r="C75" s="13">
        <v>192837225328</v>
      </c>
      <c r="D75" s="13">
        <v>2307835728</v>
      </c>
      <c r="E75" s="13">
        <v>6954349</v>
      </c>
      <c r="F75" s="13">
        <v>4388589</v>
      </c>
      <c r="G75" s="13">
        <v>43941</v>
      </c>
      <c r="H75" s="13">
        <v>27729</v>
      </c>
      <c r="I75" s="14" t="s">
        <v>95</v>
      </c>
      <c r="J75" s="14" t="s">
        <v>24</v>
      </c>
      <c r="K75" s="15" t="s">
        <v>720</v>
      </c>
      <c r="L75" s="15" t="s">
        <v>440</v>
      </c>
      <c r="M75" s="15" t="s">
        <v>721</v>
      </c>
      <c r="N75" s="15" t="s">
        <v>80</v>
      </c>
      <c r="O75" s="15" t="s">
        <v>722</v>
      </c>
      <c r="P75" s="20">
        <f t="shared" si="5"/>
        <v>-0.12433558257645902</v>
      </c>
      <c r="Q75" s="20">
        <f t="shared" si="3"/>
        <v>-8.0545658321523425E-2</v>
      </c>
      <c r="R75" s="20">
        <f t="shared" si="4"/>
        <v>-7.8816912985699858E-2</v>
      </c>
    </row>
    <row r="76" spans="1:18" ht="17.399999999999999" x14ac:dyDescent="0.4">
      <c r="A76" s="12" t="s">
        <v>723</v>
      </c>
      <c r="B76" s="13">
        <v>226781573944</v>
      </c>
      <c r="C76" s="13">
        <v>230493263195</v>
      </c>
      <c r="D76" s="13">
        <v>3711689252</v>
      </c>
      <c r="E76" s="13">
        <v>6642305</v>
      </c>
      <c r="F76" s="13">
        <v>4253061</v>
      </c>
      <c r="G76" s="13">
        <v>54195</v>
      </c>
      <c r="H76" s="13">
        <v>34701</v>
      </c>
      <c r="I76" s="14" t="s">
        <v>95</v>
      </c>
      <c r="J76" s="14" t="s">
        <v>24</v>
      </c>
      <c r="K76" s="15" t="s">
        <v>217</v>
      </c>
      <c r="L76" s="15" t="s">
        <v>280</v>
      </c>
      <c r="M76" s="15" t="s">
        <v>724</v>
      </c>
      <c r="N76" s="16" t="s">
        <v>382</v>
      </c>
      <c r="O76" s="16" t="s">
        <v>123</v>
      </c>
      <c r="P76" s="20">
        <f t="shared" si="5"/>
        <v>-6.368081718400527E-2</v>
      </c>
      <c r="Q76" s="20">
        <f t="shared" si="3"/>
        <v>-5.8857926519193839E-2</v>
      </c>
      <c r="R76" s="20">
        <f t="shared" si="4"/>
        <v>-5.6260742563250483E-2</v>
      </c>
    </row>
    <row r="77" spans="1:18" ht="17.399999999999999" x14ac:dyDescent="0.4">
      <c r="A77" s="12" t="s">
        <v>725</v>
      </c>
      <c r="B77" s="13">
        <v>187841692372</v>
      </c>
      <c r="C77" s="13">
        <v>190578969375</v>
      </c>
      <c r="D77" s="13">
        <v>2737277003</v>
      </c>
      <c r="E77" s="13">
        <v>6750328</v>
      </c>
      <c r="F77" s="13">
        <v>4359342</v>
      </c>
      <c r="G77" s="13">
        <v>43717</v>
      </c>
      <c r="H77" s="13">
        <v>28233</v>
      </c>
      <c r="I77" s="14" t="s">
        <v>41</v>
      </c>
      <c r="J77" s="14" t="s">
        <v>24</v>
      </c>
      <c r="K77" s="16" t="s">
        <v>64</v>
      </c>
      <c r="L77" s="16" t="s">
        <v>633</v>
      </c>
      <c r="M77" s="16" t="s">
        <v>480</v>
      </c>
      <c r="N77" s="15" t="s">
        <v>726</v>
      </c>
      <c r="O77" s="15" t="s">
        <v>491</v>
      </c>
      <c r="P77" s="20">
        <f t="shared" si="5"/>
        <v>2.6602106553963011E-2</v>
      </c>
      <c r="Q77" s="20">
        <f t="shared" si="3"/>
        <v>-1.2227733804943625E-2</v>
      </c>
      <c r="R77" s="20">
        <f t="shared" si="4"/>
        <v>-5.8508578567196606E-3</v>
      </c>
    </row>
    <row r="78" spans="1:18" ht="17.399999999999999" x14ac:dyDescent="0.4">
      <c r="A78" s="12" t="s">
        <v>727</v>
      </c>
      <c r="B78" s="13">
        <v>185303117588</v>
      </c>
      <c r="C78" s="13">
        <v>188157782049</v>
      </c>
      <c r="D78" s="13">
        <v>2854664461</v>
      </c>
      <c r="E78" s="13">
        <v>6489383</v>
      </c>
      <c r="F78" s="13">
        <v>4235902</v>
      </c>
      <c r="G78" s="13">
        <v>44420</v>
      </c>
      <c r="H78" s="13">
        <v>28995</v>
      </c>
      <c r="I78" s="14" t="s">
        <v>41</v>
      </c>
      <c r="J78" s="14" t="s">
        <v>24</v>
      </c>
      <c r="K78" s="16" t="s">
        <v>248</v>
      </c>
      <c r="L78" s="16" t="s">
        <v>210</v>
      </c>
      <c r="M78" s="15" t="s">
        <v>224</v>
      </c>
      <c r="N78" s="16" t="s">
        <v>59</v>
      </c>
      <c r="O78" s="16" t="s">
        <v>250</v>
      </c>
      <c r="P78" s="20">
        <f t="shared" si="5"/>
        <v>3.0114431558800118E-2</v>
      </c>
      <c r="Q78" s="20">
        <f t="shared" ref="Q78:Q141" si="6">(E78-E71)/E71</f>
        <v>-1.1104267254594917E-2</v>
      </c>
      <c r="R78" s="20">
        <f t="shared" ref="R78:R141" si="7">(F78-F71)/F71</f>
        <v>-4.4088129251221011E-3</v>
      </c>
    </row>
    <row r="79" spans="1:18" ht="17.399999999999999" x14ac:dyDescent="0.4">
      <c r="A79" s="12" t="s">
        <v>728</v>
      </c>
      <c r="B79" s="13">
        <v>205186192524</v>
      </c>
      <c r="C79" s="13">
        <v>209718000890</v>
      </c>
      <c r="D79" s="13">
        <v>4531808366</v>
      </c>
      <c r="E79" s="13">
        <v>5658321</v>
      </c>
      <c r="F79" s="13">
        <v>3972424</v>
      </c>
      <c r="G79" s="13">
        <v>52793</v>
      </c>
      <c r="H79" s="13">
        <v>37064</v>
      </c>
      <c r="I79" s="14" t="s">
        <v>23</v>
      </c>
      <c r="J79" s="14" t="s">
        <v>24</v>
      </c>
      <c r="K79" s="15" t="s">
        <v>729</v>
      </c>
      <c r="L79" s="15" t="s">
        <v>730</v>
      </c>
      <c r="M79" s="15" t="s">
        <v>731</v>
      </c>
      <c r="N79" s="16" t="s">
        <v>190</v>
      </c>
      <c r="O79" s="16" t="s">
        <v>581</v>
      </c>
      <c r="P79" s="20">
        <f t="shared" si="5"/>
        <v>0.16501085168020652</v>
      </c>
      <c r="Q79" s="20">
        <f t="shared" si="6"/>
        <v>-6.7123867645279223E-2</v>
      </c>
      <c r="R79" s="20">
        <f t="shared" si="7"/>
        <v>-5.2544105822421808E-3</v>
      </c>
    </row>
    <row r="80" spans="1:18" ht="17.399999999999999" x14ac:dyDescent="0.4">
      <c r="A80" s="12" t="s">
        <v>732</v>
      </c>
      <c r="B80" s="13">
        <v>176701515468</v>
      </c>
      <c r="C80" s="13">
        <v>179809391435</v>
      </c>
      <c r="D80" s="13">
        <v>3107875967</v>
      </c>
      <c r="E80" s="13">
        <v>4803153</v>
      </c>
      <c r="F80" s="13">
        <v>3545022</v>
      </c>
      <c r="G80" s="13">
        <v>50722</v>
      </c>
      <c r="H80" s="13">
        <v>37436</v>
      </c>
      <c r="I80" s="14" t="s">
        <v>23</v>
      </c>
      <c r="J80" s="14" t="s">
        <v>24</v>
      </c>
      <c r="K80" s="16" t="s">
        <v>597</v>
      </c>
      <c r="L80" s="16" t="s">
        <v>130</v>
      </c>
      <c r="M80" s="16" t="s">
        <v>733</v>
      </c>
      <c r="N80" s="16" t="s">
        <v>479</v>
      </c>
      <c r="O80" s="16" t="s">
        <v>364</v>
      </c>
      <c r="P80" s="20">
        <f t="shared" si="5"/>
        <v>3.626845334361882E-2</v>
      </c>
      <c r="Q80" s="20">
        <f t="shared" si="6"/>
        <v>-1.4824743663635823E-2</v>
      </c>
      <c r="R80" s="20">
        <f t="shared" si="7"/>
        <v>-1.672309263492722E-2</v>
      </c>
    </row>
    <row r="81" spans="1:18" ht="17.399999999999999" x14ac:dyDescent="0.4">
      <c r="A81" s="12" t="s">
        <v>734</v>
      </c>
      <c r="B81" s="13">
        <v>146409367868</v>
      </c>
      <c r="C81" s="13">
        <v>148443012872</v>
      </c>
      <c r="D81" s="13">
        <v>2033645004</v>
      </c>
      <c r="E81" s="13">
        <v>5026534</v>
      </c>
      <c r="F81" s="13">
        <v>3697048</v>
      </c>
      <c r="G81" s="13">
        <v>40152</v>
      </c>
      <c r="H81" s="13">
        <v>29532</v>
      </c>
      <c r="I81" s="14" t="s">
        <v>23</v>
      </c>
      <c r="J81" s="14" t="s">
        <v>24</v>
      </c>
      <c r="K81" s="16" t="s">
        <v>412</v>
      </c>
      <c r="L81" s="16" t="s">
        <v>680</v>
      </c>
      <c r="M81" s="16" t="s">
        <v>339</v>
      </c>
      <c r="N81" s="15" t="s">
        <v>84</v>
      </c>
      <c r="O81" s="15" t="s">
        <v>224</v>
      </c>
      <c r="P81" s="20">
        <f t="shared" si="5"/>
        <v>-1.1354170759484609E-2</v>
      </c>
      <c r="Q81" s="20">
        <f t="shared" si="6"/>
        <v>-1.9716313495196224E-2</v>
      </c>
      <c r="R81" s="20">
        <f t="shared" si="7"/>
        <v>-2.0180261168792894E-2</v>
      </c>
    </row>
    <row r="82" spans="1:18" ht="17.399999999999999" x14ac:dyDescent="0.4">
      <c r="A82" s="12" t="s">
        <v>584</v>
      </c>
      <c r="B82" s="13">
        <v>195679010705</v>
      </c>
      <c r="C82" s="13">
        <v>198233553607</v>
      </c>
      <c r="D82" s="13">
        <v>2554542902</v>
      </c>
      <c r="E82" s="13">
        <v>6895206</v>
      </c>
      <c r="F82" s="13">
        <v>4352977</v>
      </c>
      <c r="G82" s="13">
        <v>45540</v>
      </c>
      <c r="H82" s="13">
        <v>28749</v>
      </c>
      <c r="I82" s="14" t="s">
        <v>95</v>
      </c>
      <c r="J82" s="14" t="s">
        <v>24</v>
      </c>
      <c r="K82" s="15" t="s">
        <v>585</v>
      </c>
      <c r="L82" s="15" t="s">
        <v>586</v>
      </c>
      <c r="M82" s="15" t="s">
        <v>587</v>
      </c>
      <c r="N82" s="15" t="s">
        <v>144</v>
      </c>
      <c r="O82" s="15" t="s">
        <v>588</v>
      </c>
      <c r="P82" s="20">
        <f t="shared" si="5"/>
        <v>2.7027962015787617E-2</v>
      </c>
      <c r="Q82" s="20">
        <f t="shared" si="6"/>
        <v>-8.5044624593905195E-3</v>
      </c>
      <c r="R82" s="20">
        <f t="shared" si="7"/>
        <v>-8.1146810512444881E-3</v>
      </c>
    </row>
    <row r="83" spans="1:18" ht="17.399999999999999" x14ac:dyDescent="0.4">
      <c r="A83" s="12" t="s">
        <v>589</v>
      </c>
      <c r="B83" s="13">
        <v>235800149682</v>
      </c>
      <c r="C83" s="13">
        <v>239556695389</v>
      </c>
      <c r="D83" s="13">
        <v>3756545706</v>
      </c>
      <c r="E83" s="13">
        <v>6673239</v>
      </c>
      <c r="F83" s="13">
        <v>4284415</v>
      </c>
      <c r="G83" s="13">
        <v>55914</v>
      </c>
      <c r="H83" s="13">
        <v>35898</v>
      </c>
      <c r="I83" s="14" t="s">
        <v>95</v>
      </c>
      <c r="J83" s="14" t="s">
        <v>24</v>
      </c>
      <c r="K83" s="15" t="s">
        <v>46</v>
      </c>
      <c r="L83" s="15" t="s">
        <v>246</v>
      </c>
      <c r="M83" s="15" t="s">
        <v>590</v>
      </c>
      <c r="N83" s="16" t="s">
        <v>120</v>
      </c>
      <c r="O83" s="16" t="s">
        <v>426</v>
      </c>
      <c r="P83" s="20">
        <f t="shared" si="5"/>
        <v>3.9767674159572546E-2</v>
      </c>
      <c r="Q83" s="20">
        <f t="shared" si="6"/>
        <v>4.6571182744544254E-3</v>
      </c>
      <c r="R83" s="20">
        <f t="shared" si="7"/>
        <v>7.3721021165696898E-3</v>
      </c>
    </row>
    <row r="84" spans="1:18" ht="17.399999999999999" x14ac:dyDescent="0.4">
      <c r="A84" s="12" t="s">
        <v>591</v>
      </c>
      <c r="B84" s="13">
        <v>181196594667</v>
      </c>
      <c r="C84" s="13">
        <v>183948288531</v>
      </c>
      <c r="D84" s="13">
        <v>2751693865</v>
      </c>
      <c r="E84" s="13">
        <v>6594621</v>
      </c>
      <c r="F84" s="13">
        <v>4226953</v>
      </c>
      <c r="G84" s="13">
        <v>43518</v>
      </c>
      <c r="H84" s="13">
        <v>27894</v>
      </c>
      <c r="I84" s="14" t="s">
        <v>95</v>
      </c>
      <c r="J84" s="14" t="s">
        <v>24</v>
      </c>
      <c r="K84" s="16" t="s">
        <v>592</v>
      </c>
      <c r="L84" s="16" t="s">
        <v>592</v>
      </c>
      <c r="M84" s="16" t="s">
        <v>512</v>
      </c>
      <c r="N84" s="16" t="s">
        <v>162</v>
      </c>
      <c r="O84" s="16" t="s">
        <v>210</v>
      </c>
      <c r="P84" s="20">
        <f t="shared" si="5"/>
        <v>-3.537605321314987E-2</v>
      </c>
      <c r="Q84" s="20">
        <f t="shared" si="6"/>
        <v>-2.3066582838641322E-2</v>
      </c>
      <c r="R84" s="20">
        <f t="shared" si="7"/>
        <v>-3.0369032757696E-2</v>
      </c>
    </row>
    <row r="85" spans="1:18" ht="17.399999999999999" x14ac:dyDescent="0.4">
      <c r="A85" s="12" t="s">
        <v>593</v>
      </c>
      <c r="B85" s="13">
        <v>181853508280</v>
      </c>
      <c r="C85" s="13">
        <v>184673444994</v>
      </c>
      <c r="D85" s="13">
        <v>2819936714</v>
      </c>
      <c r="E85" s="13">
        <v>6328021</v>
      </c>
      <c r="F85" s="13">
        <v>4119808</v>
      </c>
      <c r="G85" s="13">
        <v>44826</v>
      </c>
      <c r="H85" s="13">
        <v>29183</v>
      </c>
      <c r="I85" s="14" t="s">
        <v>41</v>
      </c>
      <c r="J85" s="14" t="s">
        <v>24</v>
      </c>
      <c r="K85" s="15" t="s">
        <v>285</v>
      </c>
      <c r="L85" s="15" t="s">
        <v>285</v>
      </c>
      <c r="M85" s="15" t="s">
        <v>491</v>
      </c>
      <c r="N85" s="16" t="s">
        <v>333</v>
      </c>
      <c r="O85" s="16" t="s">
        <v>213</v>
      </c>
      <c r="P85" s="20">
        <f t="shared" si="5"/>
        <v>-1.8616034921062723E-2</v>
      </c>
      <c r="Q85" s="20">
        <f t="shared" si="6"/>
        <v>-2.4865538064250483E-2</v>
      </c>
      <c r="R85" s="20">
        <f t="shared" si="7"/>
        <v>-2.7407149646049414E-2</v>
      </c>
    </row>
    <row r="86" spans="1:18" ht="17.399999999999999" x14ac:dyDescent="0.4">
      <c r="A86" s="12" t="s">
        <v>594</v>
      </c>
      <c r="B86" s="13">
        <v>178313969016</v>
      </c>
      <c r="C86" s="13">
        <v>181211674983</v>
      </c>
      <c r="D86" s="13">
        <v>2897705967</v>
      </c>
      <c r="E86" s="13">
        <v>5937252</v>
      </c>
      <c r="F86" s="13">
        <v>3906416</v>
      </c>
      <c r="G86" s="13">
        <v>46388</v>
      </c>
      <c r="H86" s="13">
        <v>30521</v>
      </c>
      <c r="I86" s="14" t="s">
        <v>41</v>
      </c>
      <c r="J86" s="14" t="s">
        <v>24</v>
      </c>
      <c r="K86" s="16" t="s">
        <v>86</v>
      </c>
      <c r="L86" s="16" t="s">
        <v>86</v>
      </c>
      <c r="M86" s="15" t="s">
        <v>141</v>
      </c>
      <c r="N86" s="16" t="s">
        <v>581</v>
      </c>
      <c r="O86" s="16" t="s">
        <v>100</v>
      </c>
      <c r="P86" s="20">
        <f t="shared" si="5"/>
        <v>-0.13096506727594176</v>
      </c>
      <c r="Q86" s="20">
        <f t="shared" si="6"/>
        <v>4.9295718641625318E-2</v>
      </c>
      <c r="R86" s="20">
        <f t="shared" si="7"/>
        <v>-1.6616554526908509E-2</v>
      </c>
    </row>
    <row r="87" spans="1:18" ht="17.399999999999999" x14ac:dyDescent="0.4">
      <c r="A87" s="12" t="s">
        <v>595</v>
      </c>
      <c r="B87" s="13">
        <v>172058060818</v>
      </c>
      <c r="C87" s="13">
        <v>174773560965</v>
      </c>
      <c r="D87" s="13">
        <v>2715500147</v>
      </c>
      <c r="E87" s="13">
        <v>4882297</v>
      </c>
      <c r="F87" s="13">
        <v>3605682</v>
      </c>
      <c r="G87" s="13">
        <v>48472</v>
      </c>
      <c r="H87" s="13">
        <v>35797</v>
      </c>
      <c r="I87" s="14" t="s">
        <v>23</v>
      </c>
      <c r="J87" s="14" t="s">
        <v>24</v>
      </c>
      <c r="K87" s="16" t="s">
        <v>158</v>
      </c>
      <c r="L87" s="16" t="s">
        <v>157</v>
      </c>
      <c r="M87" s="16" t="s">
        <v>195</v>
      </c>
      <c r="N87" s="16" t="s">
        <v>186</v>
      </c>
      <c r="O87" s="16" t="s">
        <v>316</v>
      </c>
      <c r="P87" s="20">
        <f t="shared" si="5"/>
        <v>-2.6278521934017668E-2</v>
      </c>
      <c r="Q87" s="20">
        <f t="shared" si="6"/>
        <v>1.6477509669169398E-2</v>
      </c>
      <c r="R87" s="20">
        <f t="shared" si="7"/>
        <v>1.7111318350069477E-2</v>
      </c>
    </row>
    <row r="88" spans="1:18" ht="17.399999999999999" x14ac:dyDescent="0.4">
      <c r="A88" s="12" t="s">
        <v>596</v>
      </c>
      <c r="B88" s="13">
        <v>148715640584</v>
      </c>
      <c r="C88" s="13">
        <v>150552640557</v>
      </c>
      <c r="D88" s="13">
        <v>1836999972</v>
      </c>
      <c r="E88" s="13">
        <v>5175606</v>
      </c>
      <c r="F88" s="13">
        <v>3789732</v>
      </c>
      <c r="G88" s="13">
        <v>39726</v>
      </c>
      <c r="H88" s="13">
        <v>29089</v>
      </c>
      <c r="I88" s="14" t="s">
        <v>23</v>
      </c>
      <c r="J88" s="14" t="s">
        <v>24</v>
      </c>
      <c r="K88" s="16" t="s">
        <v>131</v>
      </c>
      <c r="L88" s="16" t="s">
        <v>597</v>
      </c>
      <c r="M88" s="16" t="s">
        <v>598</v>
      </c>
      <c r="N88" s="15" t="s">
        <v>599</v>
      </c>
      <c r="O88" s="15" t="s">
        <v>600</v>
      </c>
      <c r="P88" s="20">
        <f t="shared" si="5"/>
        <v>1.5752220978641839E-2</v>
      </c>
      <c r="Q88" s="20">
        <f t="shared" si="6"/>
        <v>2.9657016146712626E-2</v>
      </c>
      <c r="R88" s="20">
        <f t="shared" si="7"/>
        <v>2.5069731309953238E-2</v>
      </c>
    </row>
    <row r="89" spans="1:18" ht="17.399999999999999" x14ac:dyDescent="0.4">
      <c r="A89" s="12" t="s">
        <v>601</v>
      </c>
      <c r="B89" s="13">
        <v>205759048375</v>
      </c>
      <c r="C89" s="13">
        <v>208489278895</v>
      </c>
      <c r="D89" s="13">
        <v>2730230519</v>
      </c>
      <c r="E89" s="13">
        <v>6970311</v>
      </c>
      <c r="F89" s="13">
        <v>4376004</v>
      </c>
      <c r="G89" s="13">
        <v>47644</v>
      </c>
      <c r="H89" s="13">
        <v>29911</v>
      </c>
      <c r="I89" s="14" t="s">
        <v>95</v>
      </c>
      <c r="J89" s="14" t="s">
        <v>24</v>
      </c>
      <c r="K89" s="15" t="s">
        <v>602</v>
      </c>
      <c r="L89" s="15" t="s">
        <v>603</v>
      </c>
      <c r="M89" s="15" t="s">
        <v>604</v>
      </c>
      <c r="N89" s="15" t="s">
        <v>298</v>
      </c>
      <c r="O89" s="15" t="s">
        <v>605</v>
      </c>
      <c r="P89" s="20">
        <f t="shared" si="5"/>
        <v>5.151312669500549E-2</v>
      </c>
      <c r="Q89" s="20">
        <f t="shared" si="6"/>
        <v>1.0892350424338301E-2</v>
      </c>
      <c r="R89" s="20">
        <f t="shared" si="7"/>
        <v>5.2899429516857083E-3</v>
      </c>
    </row>
    <row r="90" spans="1:18" ht="17.399999999999999" x14ac:dyDescent="0.4">
      <c r="A90" s="12" t="s">
        <v>606</v>
      </c>
      <c r="B90" s="13">
        <v>251391159968</v>
      </c>
      <c r="C90" s="13">
        <v>255401903324</v>
      </c>
      <c r="D90" s="13">
        <v>4010743356</v>
      </c>
      <c r="E90" s="13">
        <v>6932164</v>
      </c>
      <c r="F90" s="13">
        <v>4326081</v>
      </c>
      <c r="G90" s="13">
        <v>59038</v>
      </c>
      <c r="H90" s="13">
        <v>36843</v>
      </c>
      <c r="I90" s="14" t="s">
        <v>95</v>
      </c>
      <c r="J90" s="14" t="s">
        <v>24</v>
      </c>
      <c r="K90" s="15" t="s">
        <v>607</v>
      </c>
      <c r="L90" s="15" t="s">
        <v>608</v>
      </c>
      <c r="M90" s="15" t="s">
        <v>609</v>
      </c>
      <c r="N90" s="16" t="s">
        <v>232</v>
      </c>
      <c r="O90" s="16" t="s">
        <v>450</v>
      </c>
      <c r="P90" s="20">
        <f t="shared" si="5"/>
        <v>6.6119594525389541E-2</v>
      </c>
      <c r="Q90" s="20">
        <f t="shared" si="6"/>
        <v>3.880049852852565E-2</v>
      </c>
      <c r="R90" s="20">
        <f t="shared" si="7"/>
        <v>9.7250149670375062E-3</v>
      </c>
    </row>
    <row r="91" spans="1:18" ht="17.399999999999999" x14ac:dyDescent="0.4">
      <c r="A91" s="12" t="s">
        <v>610</v>
      </c>
      <c r="B91" s="13">
        <v>194895095134</v>
      </c>
      <c r="C91" s="13">
        <v>197748281606</v>
      </c>
      <c r="D91" s="13">
        <v>2853186472</v>
      </c>
      <c r="E91" s="13">
        <v>6867429</v>
      </c>
      <c r="F91" s="13">
        <v>4286348</v>
      </c>
      <c r="G91" s="13">
        <v>46134</v>
      </c>
      <c r="H91" s="13">
        <v>28795</v>
      </c>
      <c r="I91" s="14" t="s">
        <v>95</v>
      </c>
      <c r="J91" s="14" t="s">
        <v>24</v>
      </c>
      <c r="K91" s="16" t="s">
        <v>611</v>
      </c>
      <c r="L91" s="16" t="s">
        <v>612</v>
      </c>
      <c r="M91" s="16" t="s">
        <v>613</v>
      </c>
      <c r="N91" s="16" t="s">
        <v>231</v>
      </c>
      <c r="O91" s="16" t="s">
        <v>231</v>
      </c>
      <c r="P91" s="20">
        <f t="shared" si="5"/>
        <v>7.5600209221232159E-2</v>
      </c>
      <c r="Q91" s="20">
        <f t="shared" si="6"/>
        <v>4.1368260586923798E-2</v>
      </c>
      <c r="R91" s="20">
        <f t="shared" si="7"/>
        <v>1.4051492883881132E-2</v>
      </c>
    </row>
    <row r="92" spans="1:18" ht="17.399999999999999" x14ac:dyDescent="0.4">
      <c r="A92" s="12" t="s">
        <v>614</v>
      </c>
      <c r="B92" s="13">
        <v>199815229638</v>
      </c>
      <c r="C92" s="13">
        <v>202743362874</v>
      </c>
      <c r="D92" s="13">
        <v>2928133236</v>
      </c>
      <c r="E92" s="13">
        <v>6802289</v>
      </c>
      <c r="F92" s="13">
        <v>4339016</v>
      </c>
      <c r="G92" s="13">
        <v>46726</v>
      </c>
      <c r="H92" s="13">
        <v>29805</v>
      </c>
      <c r="I92" s="14" t="s">
        <v>95</v>
      </c>
      <c r="J92" s="14" t="s">
        <v>24</v>
      </c>
      <c r="K92" s="15" t="s">
        <v>491</v>
      </c>
      <c r="L92" s="15" t="s">
        <v>491</v>
      </c>
      <c r="M92" s="15" t="s">
        <v>142</v>
      </c>
      <c r="N92" s="16" t="s">
        <v>231</v>
      </c>
      <c r="O92" s="15" t="s">
        <v>82</v>
      </c>
      <c r="P92" s="20">
        <f t="shared" si="5"/>
        <v>9.8770276844724503E-2</v>
      </c>
      <c r="Q92" s="20">
        <f t="shared" si="6"/>
        <v>7.4947286047249206E-2</v>
      </c>
      <c r="R92" s="20">
        <f t="shared" si="7"/>
        <v>5.3208304853041698E-2</v>
      </c>
    </row>
    <row r="93" spans="1:18" ht="17.399999999999999" x14ac:dyDescent="0.4">
      <c r="A93" s="12" t="s">
        <v>615</v>
      </c>
      <c r="B93" s="13">
        <v>187215744496</v>
      </c>
      <c r="C93" s="13">
        <v>190107012269</v>
      </c>
      <c r="D93" s="13">
        <v>2891267773</v>
      </c>
      <c r="E93" s="13">
        <v>6096289</v>
      </c>
      <c r="F93" s="13">
        <v>3959723</v>
      </c>
      <c r="G93" s="13">
        <v>48010</v>
      </c>
      <c r="H93" s="13">
        <v>31184</v>
      </c>
      <c r="I93" s="14" t="s">
        <v>41</v>
      </c>
      <c r="J93" s="14" t="s">
        <v>24</v>
      </c>
      <c r="K93" s="16" t="s">
        <v>195</v>
      </c>
      <c r="L93" s="16" t="s">
        <v>581</v>
      </c>
      <c r="M93" s="16" t="s">
        <v>210</v>
      </c>
      <c r="N93" s="16" t="s">
        <v>32</v>
      </c>
      <c r="O93" s="16" t="s">
        <v>616</v>
      </c>
      <c r="P93" s="20">
        <f t="shared" si="5"/>
        <v>4.9921918788097021E-2</v>
      </c>
      <c r="Q93" s="20">
        <f t="shared" si="6"/>
        <v>2.6786297768732068E-2</v>
      </c>
      <c r="R93" s="20">
        <f t="shared" si="7"/>
        <v>1.3646012099069838E-2</v>
      </c>
    </row>
    <row r="94" spans="1:18" ht="17.399999999999999" x14ac:dyDescent="0.4">
      <c r="A94" s="12" t="s">
        <v>617</v>
      </c>
      <c r="B94" s="13">
        <v>170132360899</v>
      </c>
      <c r="C94" s="13">
        <v>172745458130</v>
      </c>
      <c r="D94" s="13">
        <v>2613097231</v>
      </c>
      <c r="E94" s="13">
        <v>4687176</v>
      </c>
      <c r="F94" s="13">
        <v>3451216</v>
      </c>
      <c r="G94" s="13">
        <v>50054</v>
      </c>
      <c r="H94" s="13">
        <v>36855</v>
      </c>
      <c r="I94" s="14" t="s">
        <v>23</v>
      </c>
      <c r="J94" s="14" t="s">
        <v>24</v>
      </c>
      <c r="K94" s="16" t="s">
        <v>433</v>
      </c>
      <c r="L94" s="16" t="s">
        <v>433</v>
      </c>
      <c r="M94" s="16" t="s">
        <v>437</v>
      </c>
      <c r="N94" s="16" t="s">
        <v>618</v>
      </c>
      <c r="O94" s="16" t="s">
        <v>190</v>
      </c>
      <c r="P94" s="20">
        <f t="shared" si="5"/>
        <v>-1.1192151706492679E-2</v>
      </c>
      <c r="Q94" s="20">
        <f t="shared" si="6"/>
        <v>-3.9965000080904541E-2</v>
      </c>
      <c r="R94" s="20">
        <f t="shared" si="7"/>
        <v>-4.2839607042440241E-2</v>
      </c>
    </row>
    <row r="95" spans="1:18" ht="17.399999999999999" x14ac:dyDescent="0.4">
      <c r="A95" s="12" t="s">
        <v>619</v>
      </c>
      <c r="B95" s="13">
        <v>154270917419</v>
      </c>
      <c r="C95" s="13">
        <v>156183277510</v>
      </c>
      <c r="D95" s="13">
        <v>1912360091</v>
      </c>
      <c r="E95" s="13">
        <v>5144117</v>
      </c>
      <c r="F95" s="13">
        <v>3732289</v>
      </c>
      <c r="G95" s="13">
        <v>41847</v>
      </c>
      <c r="H95" s="13">
        <v>30362</v>
      </c>
      <c r="I95" s="14" t="s">
        <v>23</v>
      </c>
      <c r="J95" s="14" t="s">
        <v>24</v>
      </c>
      <c r="K95" s="16" t="s">
        <v>366</v>
      </c>
      <c r="L95" s="16" t="s">
        <v>437</v>
      </c>
      <c r="M95" s="16" t="s">
        <v>523</v>
      </c>
      <c r="N95" s="15" t="s">
        <v>35</v>
      </c>
      <c r="O95" s="15" t="s">
        <v>395</v>
      </c>
      <c r="P95" s="20">
        <f t="shared" si="5"/>
        <v>3.7355027441529784E-2</v>
      </c>
      <c r="Q95" s="20">
        <f t="shared" si="6"/>
        <v>-6.0841184587853096E-3</v>
      </c>
      <c r="R95" s="20">
        <f t="shared" si="7"/>
        <v>-1.5157536205726421E-2</v>
      </c>
    </row>
    <row r="96" spans="1:18" ht="17.399999999999999" x14ac:dyDescent="0.4">
      <c r="A96" s="12" t="s">
        <v>620</v>
      </c>
      <c r="B96" s="13">
        <v>224629555744</v>
      </c>
      <c r="C96" s="13">
        <v>227585887363</v>
      </c>
      <c r="D96" s="13">
        <v>2956331619</v>
      </c>
      <c r="E96" s="13">
        <v>7286871</v>
      </c>
      <c r="F96" s="13">
        <v>4651682</v>
      </c>
      <c r="G96" s="13">
        <v>48926</v>
      </c>
      <c r="H96" s="13">
        <v>31232</v>
      </c>
      <c r="I96" s="14" t="s">
        <v>95</v>
      </c>
      <c r="J96" s="14" t="s">
        <v>24</v>
      </c>
      <c r="K96" s="15" t="s">
        <v>621</v>
      </c>
      <c r="L96" s="15" t="s">
        <v>622</v>
      </c>
      <c r="M96" s="15" t="s">
        <v>623</v>
      </c>
      <c r="N96" s="15" t="s">
        <v>624</v>
      </c>
      <c r="O96" s="15" t="s">
        <v>625</v>
      </c>
      <c r="P96" s="20">
        <f t="shared" si="5"/>
        <v>9.1711676925177649E-2</v>
      </c>
      <c r="Q96" s="20">
        <f t="shared" si="6"/>
        <v>4.5415477157332004E-2</v>
      </c>
      <c r="R96" s="20">
        <f t="shared" si="7"/>
        <v>6.2997657223348061E-2</v>
      </c>
    </row>
    <row r="97" spans="1:18" ht="17.399999999999999" x14ac:dyDescent="0.4">
      <c r="A97" s="12" t="s">
        <v>626</v>
      </c>
      <c r="B97" s="13">
        <v>264717185467</v>
      </c>
      <c r="C97" s="13">
        <v>268874202977</v>
      </c>
      <c r="D97" s="13">
        <v>4157017510</v>
      </c>
      <c r="E97" s="13">
        <v>7122671</v>
      </c>
      <c r="F97" s="13">
        <v>4733068</v>
      </c>
      <c r="G97" s="13">
        <v>56808</v>
      </c>
      <c r="H97" s="13">
        <v>37749</v>
      </c>
      <c r="I97" s="14" t="s">
        <v>41</v>
      </c>
      <c r="J97" s="14" t="s">
        <v>24</v>
      </c>
      <c r="K97" s="15" t="s">
        <v>331</v>
      </c>
      <c r="L97" s="15" t="s">
        <v>627</v>
      </c>
      <c r="M97" s="15" t="s">
        <v>628</v>
      </c>
      <c r="N97" s="16" t="s">
        <v>92</v>
      </c>
      <c r="O97" s="15" t="s">
        <v>139</v>
      </c>
      <c r="P97" s="20">
        <f t="shared" si="5"/>
        <v>5.300912530375488E-2</v>
      </c>
      <c r="Q97" s="20">
        <f t="shared" si="6"/>
        <v>2.7481606032402003E-2</v>
      </c>
      <c r="R97" s="20">
        <f t="shared" si="7"/>
        <v>9.4077526518805354E-2</v>
      </c>
    </row>
    <row r="98" spans="1:18" ht="17.399999999999999" x14ac:dyDescent="0.4">
      <c r="A98" s="12" t="s">
        <v>629</v>
      </c>
      <c r="B98" s="13">
        <v>227796682446</v>
      </c>
      <c r="C98" s="13">
        <v>231184560837</v>
      </c>
      <c r="D98" s="13">
        <v>3387878392</v>
      </c>
      <c r="E98" s="13">
        <v>6646763</v>
      </c>
      <c r="F98" s="13">
        <v>4344755</v>
      </c>
      <c r="G98" s="13">
        <v>53210</v>
      </c>
      <c r="H98" s="13">
        <v>34782</v>
      </c>
      <c r="I98" s="14" t="s">
        <v>41</v>
      </c>
      <c r="J98" s="14" t="s">
        <v>24</v>
      </c>
      <c r="K98" s="16" t="s">
        <v>597</v>
      </c>
      <c r="L98" s="16" t="s">
        <v>106</v>
      </c>
      <c r="M98" s="16" t="s">
        <v>493</v>
      </c>
      <c r="N98" s="16" t="s">
        <v>65</v>
      </c>
      <c r="O98" s="16" t="s">
        <v>171</v>
      </c>
      <c r="P98" s="20">
        <f t="shared" si="5"/>
        <v>0.16881690783125422</v>
      </c>
      <c r="Q98" s="20">
        <f t="shared" si="6"/>
        <v>-3.2132257938159971E-2</v>
      </c>
      <c r="R98" s="20">
        <f t="shared" si="7"/>
        <v>1.3626285126639274E-2</v>
      </c>
    </row>
    <row r="99" spans="1:18" ht="17.399999999999999" x14ac:dyDescent="0.4">
      <c r="A99" s="12" t="s">
        <v>630</v>
      </c>
      <c r="B99" s="13">
        <v>179974037089</v>
      </c>
      <c r="C99" s="13">
        <v>183351395751</v>
      </c>
      <c r="D99" s="13">
        <v>3377358663</v>
      </c>
      <c r="E99" s="13">
        <v>5498154</v>
      </c>
      <c r="F99" s="13">
        <v>3783744</v>
      </c>
      <c r="G99" s="13">
        <v>48458</v>
      </c>
      <c r="H99" s="13">
        <v>33348</v>
      </c>
      <c r="I99" s="14" t="s">
        <v>41</v>
      </c>
      <c r="J99" s="14" t="s">
        <v>24</v>
      </c>
      <c r="K99" s="16" t="s">
        <v>631</v>
      </c>
      <c r="L99" s="16" t="s">
        <v>632</v>
      </c>
      <c r="M99" s="16" t="s">
        <v>238</v>
      </c>
      <c r="N99" s="16" t="s">
        <v>633</v>
      </c>
      <c r="O99" s="16" t="s">
        <v>634</v>
      </c>
      <c r="P99" s="20">
        <f t="shared" si="5"/>
        <v>-9.9297699104046108E-2</v>
      </c>
      <c r="Q99" s="20">
        <f t="shared" si="6"/>
        <v>-0.19172002248066791</v>
      </c>
      <c r="R99" s="20">
        <f t="shared" si="7"/>
        <v>-0.12797187196359727</v>
      </c>
    </row>
    <row r="100" spans="1:18" ht="17.399999999999999" x14ac:dyDescent="0.4">
      <c r="A100" s="12" t="s">
        <v>635</v>
      </c>
      <c r="B100" s="13">
        <v>200220818161</v>
      </c>
      <c r="C100" s="13">
        <v>203695712810</v>
      </c>
      <c r="D100" s="13">
        <v>3474894649</v>
      </c>
      <c r="E100" s="13">
        <v>4710231</v>
      </c>
      <c r="F100" s="13">
        <v>3421093</v>
      </c>
      <c r="G100" s="13">
        <v>59541</v>
      </c>
      <c r="H100" s="13">
        <v>43245</v>
      </c>
      <c r="I100" s="14" t="s">
        <v>23</v>
      </c>
      <c r="J100" s="14" t="s">
        <v>24</v>
      </c>
      <c r="K100" s="15" t="s">
        <v>636</v>
      </c>
      <c r="L100" s="15" t="s">
        <v>637</v>
      </c>
      <c r="M100" s="15" t="s">
        <v>192</v>
      </c>
      <c r="N100" s="16" t="s">
        <v>130</v>
      </c>
      <c r="O100" s="16" t="s">
        <v>437</v>
      </c>
      <c r="P100" s="20">
        <f t="shared" si="5"/>
        <v>6.9465704927813177E-2</v>
      </c>
      <c r="Q100" s="20">
        <f t="shared" si="6"/>
        <v>-0.22736094040161153</v>
      </c>
      <c r="R100" s="20">
        <f t="shared" si="7"/>
        <v>-0.13602719180104264</v>
      </c>
    </row>
    <row r="101" spans="1:18" ht="17.399999999999999" x14ac:dyDescent="0.4">
      <c r="A101" s="12" t="s">
        <v>638</v>
      </c>
      <c r="B101" s="13">
        <v>156975230291</v>
      </c>
      <c r="C101" s="13">
        <v>159916004548</v>
      </c>
      <c r="D101" s="13">
        <v>2940774257</v>
      </c>
      <c r="E101" s="13">
        <v>4096563</v>
      </c>
      <c r="F101" s="13">
        <v>3041346</v>
      </c>
      <c r="G101" s="13">
        <v>52581</v>
      </c>
      <c r="H101" s="13">
        <v>39037</v>
      </c>
      <c r="I101" s="14" t="s">
        <v>460</v>
      </c>
      <c r="J101" s="14" t="s">
        <v>24</v>
      </c>
      <c r="K101" s="16" t="s">
        <v>639</v>
      </c>
      <c r="L101" s="16" t="s">
        <v>640</v>
      </c>
      <c r="M101" s="16" t="s">
        <v>374</v>
      </c>
      <c r="N101" s="16" t="s">
        <v>641</v>
      </c>
      <c r="O101" s="16" t="s">
        <v>642</v>
      </c>
      <c r="P101" s="20">
        <f t="shared" si="5"/>
        <v>-7.7334673653360997E-2</v>
      </c>
      <c r="Q101" s="20">
        <f t="shared" si="6"/>
        <v>-0.12600614954505657</v>
      </c>
      <c r="R101" s="20">
        <f t="shared" si="7"/>
        <v>-0.11876103958720637</v>
      </c>
    </row>
    <row r="102" spans="1:18" ht="17.399999999999999" x14ac:dyDescent="0.4">
      <c r="A102" s="12" t="s">
        <v>643</v>
      </c>
      <c r="B102" s="13">
        <v>131402500776</v>
      </c>
      <c r="C102" s="13">
        <v>133936184248</v>
      </c>
      <c r="D102" s="13">
        <v>2533683472</v>
      </c>
      <c r="E102" s="13">
        <v>3538579</v>
      </c>
      <c r="F102" s="13">
        <v>2679338</v>
      </c>
      <c r="G102" s="13">
        <v>49989</v>
      </c>
      <c r="H102" s="13">
        <v>37850</v>
      </c>
      <c r="I102" s="14" t="s">
        <v>460</v>
      </c>
      <c r="J102" s="14" t="s">
        <v>24</v>
      </c>
      <c r="K102" s="16" t="s">
        <v>644</v>
      </c>
      <c r="L102" s="16" t="s">
        <v>557</v>
      </c>
      <c r="M102" s="16" t="s">
        <v>645</v>
      </c>
      <c r="N102" s="16" t="s">
        <v>131</v>
      </c>
      <c r="O102" s="16" t="s">
        <v>477</v>
      </c>
      <c r="P102" s="20">
        <f t="shared" si="5"/>
        <v>-0.1482354355934071</v>
      </c>
      <c r="Q102" s="20">
        <f t="shared" si="6"/>
        <v>-0.31211148580018688</v>
      </c>
      <c r="R102" s="20">
        <f t="shared" si="7"/>
        <v>-0.28211936428288376</v>
      </c>
    </row>
    <row r="103" spans="1:18" ht="17.399999999999999" x14ac:dyDescent="0.4">
      <c r="A103" s="12" t="s">
        <v>646</v>
      </c>
      <c r="B103" s="13">
        <v>116503742343</v>
      </c>
      <c r="C103" s="13">
        <v>118459090801</v>
      </c>
      <c r="D103" s="13">
        <v>1955348457</v>
      </c>
      <c r="E103" s="13">
        <v>3645215</v>
      </c>
      <c r="F103" s="13">
        <v>2743202</v>
      </c>
      <c r="G103" s="13">
        <v>43183</v>
      </c>
      <c r="H103" s="13">
        <v>32497</v>
      </c>
      <c r="I103" s="14" t="s">
        <v>460</v>
      </c>
      <c r="J103" s="14" t="s">
        <v>24</v>
      </c>
      <c r="K103" s="16" t="s">
        <v>474</v>
      </c>
      <c r="L103" s="16" t="s">
        <v>91</v>
      </c>
      <c r="M103" s="16" t="s">
        <v>647</v>
      </c>
      <c r="N103" s="15" t="s">
        <v>286</v>
      </c>
      <c r="O103" s="15" t="s">
        <v>288</v>
      </c>
      <c r="P103" s="20">
        <f t="shared" si="5"/>
        <v>-0.48135167717745048</v>
      </c>
      <c r="Q103" s="20">
        <f t="shared" si="6"/>
        <v>-0.49975579367330641</v>
      </c>
      <c r="R103" s="20">
        <f t="shared" si="7"/>
        <v>-0.41027740073375607</v>
      </c>
    </row>
    <row r="104" spans="1:18" ht="17.399999999999999" x14ac:dyDescent="0.4">
      <c r="A104" s="12" t="s">
        <v>648</v>
      </c>
      <c r="B104" s="13">
        <v>100548615304</v>
      </c>
      <c r="C104" s="13">
        <v>101935554013</v>
      </c>
      <c r="D104" s="13">
        <v>1386938709</v>
      </c>
      <c r="E104" s="13">
        <v>4049051</v>
      </c>
      <c r="F104" s="13">
        <v>3016882</v>
      </c>
      <c r="G104" s="13">
        <v>33788</v>
      </c>
      <c r="H104" s="13">
        <v>25175</v>
      </c>
      <c r="I104" s="14" t="s">
        <v>460</v>
      </c>
      <c r="J104" s="14" t="s">
        <v>24</v>
      </c>
      <c r="K104" s="16" t="s">
        <v>649</v>
      </c>
      <c r="L104" s="16" t="s">
        <v>597</v>
      </c>
      <c r="M104" s="16" t="s">
        <v>324</v>
      </c>
      <c r="N104" s="15" t="s">
        <v>637</v>
      </c>
      <c r="O104" s="15" t="s">
        <v>534</v>
      </c>
      <c r="P104" s="20">
        <f t="shared" si="5"/>
        <v>-0.6201658946825932</v>
      </c>
      <c r="Q104" s="20">
        <f t="shared" si="6"/>
        <v>-0.4315263192698357</v>
      </c>
      <c r="R104" s="20">
        <f t="shared" si="7"/>
        <v>-0.36259483278076715</v>
      </c>
    </row>
    <row r="105" spans="1:18" ht="17.399999999999999" x14ac:dyDescent="0.4">
      <c r="A105" s="12" t="s">
        <v>650</v>
      </c>
      <c r="B105" s="13">
        <v>140145337530</v>
      </c>
      <c r="C105" s="13">
        <v>142075039334</v>
      </c>
      <c r="D105" s="13">
        <v>1929701804</v>
      </c>
      <c r="E105" s="13">
        <v>4421953</v>
      </c>
      <c r="F105" s="13">
        <v>3277031</v>
      </c>
      <c r="G105" s="13">
        <v>43355</v>
      </c>
      <c r="H105" s="13">
        <v>32129</v>
      </c>
      <c r="I105" s="14" t="s">
        <v>460</v>
      </c>
      <c r="J105" s="14" t="s">
        <v>24</v>
      </c>
      <c r="K105" s="15" t="s">
        <v>558</v>
      </c>
      <c r="L105" s="15" t="s">
        <v>558</v>
      </c>
      <c r="M105" s="15" t="s">
        <v>651</v>
      </c>
      <c r="N105" s="15" t="s">
        <v>652</v>
      </c>
      <c r="O105" s="15" t="s">
        <v>462</v>
      </c>
      <c r="P105" s="20">
        <f t="shared" si="5"/>
        <v>-0.38477884741266177</v>
      </c>
      <c r="Q105" s="20">
        <f t="shared" si="6"/>
        <v>-0.33472082576135181</v>
      </c>
      <c r="R105" s="20">
        <f t="shared" si="7"/>
        <v>-0.24575010558708144</v>
      </c>
    </row>
    <row r="106" spans="1:18" ht="17.399999999999999" x14ac:dyDescent="0.4">
      <c r="A106" s="12" t="s">
        <v>653</v>
      </c>
      <c r="B106" s="13">
        <v>157163326110</v>
      </c>
      <c r="C106" s="13">
        <v>159319964355</v>
      </c>
      <c r="D106" s="13">
        <v>2156638245</v>
      </c>
      <c r="E106" s="13">
        <v>4926028</v>
      </c>
      <c r="F106" s="13">
        <v>3616325</v>
      </c>
      <c r="G106" s="13">
        <v>44056</v>
      </c>
      <c r="H106" s="13">
        <v>32342</v>
      </c>
      <c r="I106" s="14" t="s">
        <v>23</v>
      </c>
      <c r="J106" s="14" t="s">
        <v>24</v>
      </c>
      <c r="K106" s="15" t="s">
        <v>358</v>
      </c>
      <c r="L106" s="15" t="s">
        <v>358</v>
      </c>
      <c r="M106" s="15" t="s">
        <v>654</v>
      </c>
      <c r="N106" s="15" t="s">
        <v>655</v>
      </c>
      <c r="O106" s="15" t="s">
        <v>656</v>
      </c>
      <c r="P106" s="20">
        <f t="shared" si="5"/>
        <v>-0.12674445352203631</v>
      </c>
      <c r="Q106" s="20">
        <f t="shared" si="6"/>
        <v>-0.10405783468415035</v>
      </c>
      <c r="R106" s="20">
        <f t="shared" si="7"/>
        <v>-4.4246915224708645E-2</v>
      </c>
    </row>
    <row r="107" spans="1:18" ht="17.399999999999999" x14ac:dyDescent="0.4">
      <c r="A107" s="12" t="s">
        <v>657</v>
      </c>
      <c r="B107" s="13">
        <v>261415813343</v>
      </c>
      <c r="C107" s="13">
        <v>265205415021</v>
      </c>
      <c r="D107" s="13">
        <v>3789601678</v>
      </c>
      <c r="E107" s="13">
        <v>6006587</v>
      </c>
      <c r="F107" s="13">
        <v>4080517</v>
      </c>
      <c r="G107" s="13">
        <v>64993</v>
      </c>
      <c r="H107" s="13">
        <v>44152</v>
      </c>
      <c r="I107" s="14" t="s">
        <v>41</v>
      </c>
      <c r="J107" s="14" t="s">
        <v>24</v>
      </c>
      <c r="K107" s="15" t="s">
        <v>658</v>
      </c>
      <c r="L107" s="15" t="s">
        <v>659</v>
      </c>
      <c r="M107" s="15" t="s">
        <v>660</v>
      </c>
      <c r="N107" s="15" t="s">
        <v>529</v>
      </c>
      <c r="O107" s="15" t="s">
        <v>197</v>
      </c>
      <c r="P107" s="20">
        <f t="shared" si="5"/>
        <v>0.30563752432972457</v>
      </c>
      <c r="Q107" s="20">
        <f t="shared" si="6"/>
        <v>0.27522132141714495</v>
      </c>
      <c r="R107" s="20">
        <f t="shared" si="7"/>
        <v>0.19275243321359578</v>
      </c>
    </row>
    <row r="108" spans="1:18" ht="17.399999999999999" x14ac:dyDescent="0.4">
      <c r="A108" s="12" t="s">
        <v>661</v>
      </c>
      <c r="B108" s="13">
        <v>195903334496</v>
      </c>
      <c r="C108" s="13">
        <v>199218981304</v>
      </c>
      <c r="D108" s="13">
        <v>3315646808</v>
      </c>
      <c r="E108" s="13">
        <v>4944118</v>
      </c>
      <c r="F108" s="13">
        <v>3634439</v>
      </c>
      <c r="G108" s="13">
        <v>54814</v>
      </c>
      <c r="H108" s="13">
        <v>40294</v>
      </c>
      <c r="I108" s="14" t="s">
        <v>23</v>
      </c>
      <c r="J108" s="14" t="s">
        <v>24</v>
      </c>
      <c r="K108" s="16" t="s">
        <v>662</v>
      </c>
      <c r="L108" s="16" t="s">
        <v>663</v>
      </c>
      <c r="M108" s="16" t="s">
        <v>189</v>
      </c>
      <c r="N108" s="16" t="s">
        <v>313</v>
      </c>
      <c r="O108" s="16" t="s">
        <v>664</v>
      </c>
      <c r="P108" s="20">
        <f t="shared" si="5"/>
        <v>0.24798883322442178</v>
      </c>
      <c r="Q108" s="20">
        <f t="shared" si="6"/>
        <v>0.20689416957581269</v>
      </c>
      <c r="R108" s="20">
        <f t="shared" si="7"/>
        <v>0.19501003831856026</v>
      </c>
    </row>
    <row r="109" spans="1:18" ht="17.399999999999999" x14ac:dyDescent="0.4">
      <c r="A109" s="12" t="s">
        <v>665</v>
      </c>
      <c r="B109" s="13">
        <v>198903116443</v>
      </c>
      <c r="C109" s="13">
        <v>201491791284</v>
      </c>
      <c r="D109" s="13">
        <v>2588674841</v>
      </c>
      <c r="E109" s="13">
        <v>5174233</v>
      </c>
      <c r="F109" s="13">
        <v>3768839</v>
      </c>
      <c r="G109" s="13">
        <v>53463</v>
      </c>
      <c r="H109" s="13">
        <v>38941</v>
      </c>
      <c r="I109" s="14" t="s">
        <v>23</v>
      </c>
      <c r="J109" s="14" t="s">
        <v>24</v>
      </c>
      <c r="K109" s="15" t="s">
        <v>153</v>
      </c>
      <c r="L109" s="15" t="s">
        <v>283</v>
      </c>
      <c r="M109" s="16" t="s">
        <v>108</v>
      </c>
      <c r="N109" s="15" t="s">
        <v>84</v>
      </c>
      <c r="O109" s="15" t="s">
        <v>571</v>
      </c>
      <c r="P109" s="20">
        <f t="shared" si="5"/>
        <v>0.51369353907554127</v>
      </c>
      <c r="Q109" s="20">
        <f t="shared" si="6"/>
        <v>0.46223469929596034</v>
      </c>
      <c r="R109" s="20">
        <f t="shared" si="7"/>
        <v>0.40663066772463946</v>
      </c>
    </row>
    <row r="110" spans="1:18" ht="17.399999999999999" x14ac:dyDescent="0.4">
      <c r="A110" s="12" t="s">
        <v>666</v>
      </c>
      <c r="B110" s="13">
        <v>238818385553</v>
      </c>
      <c r="C110" s="13">
        <v>242159237678</v>
      </c>
      <c r="D110" s="13">
        <v>3340852125</v>
      </c>
      <c r="E110" s="13">
        <v>7172330</v>
      </c>
      <c r="F110" s="13">
        <v>4400996</v>
      </c>
      <c r="G110" s="13">
        <v>55024</v>
      </c>
      <c r="H110" s="13">
        <v>33763</v>
      </c>
      <c r="I110" s="14" t="s">
        <v>95</v>
      </c>
      <c r="J110" s="14" t="s">
        <v>24</v>
      </c>
      <c r="K110" s="15" t="s">
        <v>667</v>
      </c>
      <c r="L110" s="15" t="s">
        <v>668</v>
      </c>
      <c r="M110" s="15" t="s">
        <v>439</v>
      </c>
      <c r="N110" s="15" t="s">
        <v>669</v>
      </c>
      <c r="O110" s="15" t="s">
        <v>184</v>
      </c>
      <c r="P110" s="20">
        <f t="shared" si="5"/>
        <v>1.0498773751824388</v>
      </c>
      <c r="Q110" s="20">
        <f t="shared" si="6"/>
        <v>0.96760136233390892</v>
      </c>
      <c r="R110" s="20">
        <f t="shared" si="7"/>
        <v>0.60432808083400347</v>
      </c>
    </row>
    <row r="111" spans="1:18" ht="17.399999999999999" x14ac:dyDescent="0.4">
      <c r="A111" s="12" t="s">
        <v>670</v>
      </c>
      <c r="B111" s="13">
        <v>174860201253</v>
      </c>
      <c r="C111" s="13">
        <v>177890462352</v>
      </c>
      <c r="D111" s="13">
        <v>3030261099</v>
      </c>
      <c r="E111" s="13">
        <v>6796515</v>
      </c>
      <c r="F111" s="13">
        <v>4285298</v>
      </c>
      <c r="G111" s="13">
        <v>41512</v>
      </c>
      <c r="H111" s="13">
        <v>26174</v>
      </c>
      <c r="I111" s="14" t="s">
        <v>95</v>
      </c>
      <c r="J111" s="14" t="s">
        <v>24</v>
      </c>
      <c r="K111" s="16" t="s">
        <v>523</v>
      </c>
      <c r="L111" s="16" t="s">
        <v>524</v>
      </c>
      <c r="M111" s="16" t="s">
        <v>366</v>
      </c>
      <c r="N111" s="16" t="s">
        <v>100</v>
      </c>
      <c r="O111" s="16" t="s">
        <v>206</v>
      </c>
      <c r="P111" s="20">
        <f t="shared" si="5"/>
        <v>0.73906125633182895</v>
      </c>
      <c r="Q111" s="20">
        <f t="shared" si="6"/>
        <v>0.67854517021395877</v>
      </c>
      <c r="R111" s="20">
        <f t="shared" si="7"/>
        <v>0.42043938079116122</v>
      </c>
    </row>
    <row r="112" spans="1:18" ht="17.399999999999999" x14ac:dyDescent="0.4">
      <c r="A112" s="12" t="s">
        <v>503</v>
      </c>
      <c r="B112" s="13">
        <v>218577632476</v>
      </c>
      <c r="C112" s="13">
        <v>221958337397</v>
      </c>
      <c r="D112" s="13">
        <v>3380704921</v>
      </c>
      <c r="E112" s="13">
        <v>6678621</v>
      </c>
      <c r="F112" s="13">
        <v>4255226</v>
      </c>
      <c r="G112" s="13">
        <v>52161</v>
      </c>
      <c r="H112" s="13">
        <v>33234</v>
      </c>
      <c r="I112" s="14" t="s">
        <v>95</v>
      </c>
      <c r="J112" s="14" t="s">
        <v>24</v>
      </c>
      <c r="K112" s="15" t="s">
        <v>504</v>
      </c>
      <c r="L112" s="15" t="s">
        <v>423</v>
      </c>
      <c r="M112" s="15" t="s">
        <v>505</v>
      </c>
      <c r="N112" s="16" t="s">
        <v>97</v>
      </c>
      <c r="O112" s="16" t="s">
        <v>152</v>
      </c>
      <c r="P112" s="20">
        <f t="shared" si="5"/>
        <v>0.55964969172956258</v>
      </c>
      <c r="Q112" s="20">
        <f t="shared" si="6"/>
        <v>0.51033287780308834</v>
      </c>
      <c r="R112" s="20">
        <f t="shared" si="7"/>
        <v>0.29850038037479659</v>
      </c>
    </row>
    <row r="113" spans="1:18" ht="17.399999999999999" x14ac:dyDescent="0.4">
      <c r="A113" s="12" t="s">
        <v>506</v>
      </c>
      <c r="B113" s="13">
        <v>209982847675</v>
      </c>
      <c r="C113" s="13">
        <v>213318100714</v>
      </c>
      <c r="D113" s="13">
        <v>3335253039</v>
      </c>
      <c r="E113" s="13">
        <v>6581518</v>
      </c>
      <c r="F113" s="13">
        <v>4202932</v>
      </c>
      <c r="G113" s="13">
        <v>50755</v>
      </c>
      <c r="H113" s="13">
        <v>32412</v>
      </c>
      <c r="I113" s="14" t="s">
        <v>95</v>
      </c>
      <c r="J113" s="14" t="s">
        <v>24</v>
      </c>
      <c r="K113" s="16" t="s">
        <v>59</v>
      </c>
      <c r="L113" s="16" t="s">
        <v>59</v>
      </c>
      <c r="M113" s="16" t="s">
        <v>210</v>
      </c>
      <c r="N113" s="16" t="s">
        <v>161</v>
      </c>
      <c r="O113" s="16" t="s">
        <v>162</v>
      </c>
      <c r="P113" s="20">
        <f t="shared" si="5"/>
        <v>0.33608045128817871</v>
      </c>
      <c r="Q113" s="20">
        <f t="shared" si="6"/>
        <v>0.33606995331735834</v>
      </c>
      <c r="R113" s="20">
        <f t="shared" si="7"/>
        <v>0.16221080793346837</v>
      </c>
    </row>
    <row r="114" spans="1:18" ht="17.399999999999999" x14ac:dyDescent="0.4">
      <c r="A114" s="12" t="s">
        <v>507</v>
      </c>
      <c r="B114" s="13">
        <v>238624757898</v>
      </c>
      <c r="C114" s="13">
        <v>242639381651</v>
      </c>
      <c r="D114" s="13">
        <v>4014623753</v>
      </c>
      <c r="E114" s="13">
        <v>5799012</v>
      </c>
      <c r="F114" s="13">
        <v>3795977</v>
      </c>
      <c r="G114" s="13">
        <v>63920</v>
      </c>
      <c r="H114" s="13">
        <v>41842</v>
      </c>
      <c r="I114" s="14" t="s">
        <v>41</v>
      </c>
      <c r="J114" s="14" t="s">
        <v>24</v>
      </c>
      <c r="K114" s="15" t="s">
        <v>103</v>
      </c>
      <c r="L114" s="15" t="s">
        <v>508</v>
      </c>
      <c r="M114" s="15" t="s">
        <v>245</v>
      </c>
      <c r="N114" s="16" t="s">
        <v>477</v>
      </c>
      <c r="O114" s="16" t="s">
        <v>509</v>
      </c>
      <c r="P114" s="20">
        <f t="shared" si="5"/>
        <v>-8.7183155271085985E-2</v>
      </c>
      <c r="Q114" s="20">
        <f t="shared" si="6"/>
        <v>-3.45578945247942E-2</v>
      </c>
      <c r="R114" s="20">
        <f t="shared" si="7"/>
        <v>-6.9731360021291419E-2</v>
      </c>
    </row>
    <row r="115" spans="1:18" ht="17.399999999999999" x14ac:dyDescent="0.4">
      <c r="A115" s="12" t="s">
        <v>510</v>
      </c>
      <c r="B115" s="13">
        <v>175093450390</v>
      </c>
      <c r="C115" s="13">
        <v>177956412609</v>
      </c>
      <c r="D115" s="13">
        <v>2862962219</v>
      </c>
      <c r="E115" s="13">
        <v>4602320</v>
      </c>
      <c r="F115" s="13">
        <v>3405802</v>
      </c>
      <c r="G115" s="13">
        <v>52251</v>
      </c>
      <c r="H115" s="13">
        <v>38667</v>
      </c>
      <c r="I115" s="14" t="s">
        <v>23</v>
      </c>
      <c r="J115" s="14" t="s">
        <v>24</v>
      </c>
      <c r="K115" s="16" t="s">
        <v>511</v>
      </c>
      <c r="L115" s="16" t="s">
        <v>512</v>
      </c>
      <c r="M115" s="16" t="s">
        <v>513</v>
      </c>
      <c r="N115" s="16" t="s">
        <v>234</v>
      </c>
      <c r="O115" s="16" t="s">
        <v>514</v>
      </c>
      <c r="P115" s="20">
        <f t="shared" si="5"/>
        <v>-0.10622526747458146</v>
      </c>
      <c r="Q115" s="20">
        <f t="shared" si="6"/>
        <v>-6.9132249675270693E-2</v>
      </c>
      <c r="R115" s="20">
        <f t="shared" si="7"/>
        <v>-6.2908470880925507E-2</v>
      </c>
    </row>
    <row r="116" spans="1:18" ht="17.399999999999999" x14ac:dyDescent="0.4">
      <c r="A116" s="12" t="s">
        <v>515</v>
      </c>
      <c r="B116" s="13">
        <v>180672612672</v>
      </c>
      <c r="C116" s="13">
        <v>183024422878</v>
      </c>
      <c r="D116" s="13">
        <v>2351810205</v>
      </c>
      <c r="E116" s="13">
        <v>4894294</v>
      </c>
      <c r="F116" s="13">
        <v>3606367</v>
      </c>
      <c r="G116" s="13">
        <v>50750</v>
      </c>
      <c r="H116" s="13">
        <v>37395</v>
      </c>
      <c r="I116" s="14" t="s">
        <v>23</v>
      </c>
      <c r="J116" s="14" t="s">
        <v>24</v>
      </c>
      <c r="K116" s="15" t="s">
        <v>126</v>
      </c>
      <c r="L116" s="15" t="s">
        <v>141</v>
      </c>
      <c r="M116" s="16" t="s">
        <v>516</v>
      </c>
      <c r="N116" s="15" t="s">
        <v>517</v>
      </c>
      <c r="O116" s="15" t="s">
        <v>173</v>
      </c>
      <c r="P116" s="20">
        <f t="shared" si="5"/>
        <v>-9.1655194232335452E-2</v>
      </c>
      <c r="Q116" s="20">
        <f t="shared" si="6"/>
        <v>-5.4102511425364881E-2</v>
      </c>
      <c r="R116" s="20">
        <f t="shared" si="7"/>
        <v>-4.3109297054079516E-2</v>
      </c>
    </row>
    <row r="117" spans="1:18" ht="17.399999999999999" x14ac:dyDescent="0.4">
      <c r="A117" s="12" t="s">
        <v>518</v>
      </c>
      <c r="B117" s="13">
        <v>227338228584</v>
      </c>
      <c r="C117" s="13">
        <v>230135293498</v>
      </c>
      <c r="D117" s="13">
        <v>2797064915</v>
      </c>
      <c r="E117" s="13">
        <v>7014171</v>
      </c>
      <c r="F117" s="13">
        <v>4360153</v>
      </c>
      <c r="G117" s="13">
        <v>52781</v>
      </c>
      <c r="H117" s="13">
        <v>32810</v>
      </c>
      <c r="I117" s="14" t="s">
        <v>95</v>
      </c>
      <c r="J117" s="14" t="s">
        <v>24</v>
      </c>
      <c r="K117" s="15" t="s">
        <v>436</v>
      </c>
      <c r="L117" s="15" t="s">
        <v>519</v>
      </c>
      <c r="M117" s="15" t="s">
        <v>216</v>
      </c>
      <c r="N117" s="15" t="s">
        <v>520</v>
      </c>
      <c r="O117" s="15" t="s">
        <v>521</v>
      </c>
      <c r="P117" s="20">
        <f t="shared" si="5"/>
        <v>-4.8070658138053009E-2</v>
      </c>
      <c r="Q117" s="20">
        <f t="shared" si="6"/>
        <v>-2.2051272041303176E-2</v>
      </c>
      <c r="R117" s="20">
        <f t="shared" si="7"/>
        <v>-9.2803992550777141E-3</v>
      </c>
    </row>
    <row r="118" spans="1:18" ht="17.399999999999999" x14ac:dyDescent="0.4">
      <c r="A118" s="12" t="s">
        <v>522</v>
      </c>
      <c r="B118" s="13">
        <v>166321133823</v>
      </c>
      <c r="C118" s="13">
        <v>169157402836</v>
      </c>
      <c r="D118" s="13">
        <v>2836269014</v>
      </c>
      <c r="E118" s="13">
        <v>6623349</v>
      </c>
      <c r="F118" s="13">
        <v>4217012</v>
      </c>
      <c r="G118" s="13">
        <v>40113</v>
      </c>
      <c r="H118" s="13">
        <v>25540</v>
      </c>
      <c r="I118" s="14" t="s">
        <v>95</v>
      </c>
      <c r="J118" s="14" t="s">
        <v>24</v>
      </c>
      <c r="K118" s="16" t="s">
        <v>523</v>
      </c>
      <c r="L118" s="16" t="s">
        <v>524</v>
      </c>
      <c r="M118" s="15" t="s">
        <v>227</v>
      </c>
      <c r="N118" s="16" t="s">
        <v>392</v>
      </c>
      <c r="O118" s="16" t="s">
        <v>525</v>
      </c>
      <c r="P118" s="20">
        <f t="shared" si="5"/>
        <v>-4.8833681814451753E-2</v>
      </c>
      <c r="Q118" s="20">
        <f t="shared" si="6"/>
        <v>-2.5478646041390329E-2</v>
      </c>
      <c r="R118" s="20">
        <f t="shared" si="7"/>
        <v>-1.5934947814597724E-2</v>
      </c>
    </row>
    <row r="119" spans="1:18" ht="17.399999999999999" x14ac:dyDescent="0.4">
      <c r="A119" s="12" t="s">
        <v>526</v>
      </c>
      <c r="B119" s="13">
        <v>200490625433</v>
      </c>
      <c r="C119" s="13">
        <v>203569748412</v>
      </c>
      <c r="D119" s="13">
        <v>3079122978</v>
      </c>
      <c r="E119" s="13">
        <v>6446363</v>
      </c>
      <c r="F119" s="13">
        <v>4076884</v>
      </c>
      <c r="G119" s="13">
        <v>49933</v>
      </c>
      <c r="H119" s="13">
        <v>31579</v>
      </c>
      <c r="I119" s="14" t="s">
        <v>95</v>
      </c>
      <c r="J119" s="14" t="s">
        <v>24</v>
      </c>
      <c r="K119" s="15" t="s">
        <v>46</v>
      </c>
      <c r="L119" s="15" t="s">
        <v>257</v>
      </c>
      <c r="M119" s="15" t="s">
        <v>462</v>
      </c>
      <c r="N119" s="16" t="s">
        <v>389</v>
      </c>
      <c r="O119" s="16" t="s">
        <v>525</v>
      </c>
      <c r="P119" s="20">
        <f t="shared" si="5"/>
        <v>-8.2748663887124721E-2</v>
      </c>
      <c r="Q119" s="20">
        <f t="shared" si="6"/>
        <v>-3.4776340804486439E-2</v>
      </c>
      <c r="R119" s="20">
        <f t="shared" si="7"/>
        <v>-4.1911287438082021E-2</v>
      </c>
    </row>
    <row r="120" spans="1:18" ht="17.399999999999999" x14ac:dyDescent="0.4">
      <c r="A120" s="12" t="s">
        <v>527</v>
      </c>
      <c r="B120" s="13">
        <v>191489279032</v>
      </c>
      <c r="C120" s="13">
        <v>194671227001</v>
      </c>
      <c r="D120" s="13">
        <v>3181947969</v>
      </c>
      <c r="E120" s="13">
        <v>6161972</v>
      </c>
      <c r="F120" s="13">
        <v>3940246</v>
      </c>
      <c r="G120" s="13">
        <v>49406</v>
      </c>
      <c r="H120" s="13">
        <v>31592</v>
      </c>
      <c r="I120" s="14" t="s">
        <v>95</v>
      </c>
      <c r="J120" s="14" t="s">
        <v>24</v>
      </c>
      <c r="K120" s="16" t="s">
        <v>382</v>
      </c>
      <c r="L120" s="16" t="s">
        <v>447</v>
      </c>
      <c r="M120" s="15" t="s">
        <v>67</v>
      </c>
      <c r="N120" s="16" t="s">
        <v>447</v>
      </c>
      <c r="O120" s="16" t="s">
        <v>119</v>
      </c>
      <c r="P120" s="20">
        <f t="shared" si="5"/>
        <v>-8.8071806091625807E-2</v>
      </c>
      <c r="Q120" s="20">
        <f t="shared" si="6"/>
        <v>-6.3746084110079163E-2</v>
      </c>
      <c r="R120" s="20">
        <f t="shared" si="7"/>
        <v>-6.250065430513746E-2</v>
      </c>
    </row>
    <row r="121" spans="1:18" ht="17.399999999999999" x14ac:dyDescent="0.4">
      <c r="A121" s="12" t="s">
        <v>528</v>
      </c>
      <c r="B121" s="13">
        <v>233339433568</v>
      </c>
      <c r="C121" s="13">
        <v>237201208249</v>
      </c>
      <c r="D121" s="13">
        <v>3861774681</v>
      </c>
      <c r="E121" s="13">
        <v>5693732</v>
      </c>
      <c r="F121" s="13">
        <v>3730949</v>
      </c>
      <c r="G121" s="13">
        <v>63577</v>
      </c>
      <c r="H121" s="13">
        <v>41660</v>
      </c>
      <c r="I121" s="14" t="s">
        <v>41</v>
      </c>
      <c r="J121" s="14" t="s">
        <v>24</v>
      </c>
      <c r="K121" s="15" t="s">
        <v>529</v>
      </c>
      <c r="L121" s="15" t="s">
        <v>530</v>
      </c>
      <c r="M121" s="15" t="s">
        <v>404</v>
      </c>
      <c r="N121" s="16" t="s">
        <v>391</v>
      </c>
      <c r="O121" s="16" t="s">
        <v>37</v>
      </c>
      <c r="P121" s="20">
        <f t="shared" si="5"/>
        <v>-2.214910295376479E-2</v>
      </c>
      <c r="Q121" s="20">
        <f t="shared" si="6"/>
        <v>-1.8154816717054559E-2</v>
      </c>
      <c r="R121" s="20">
        <f t="shared" si="7"/>
        <v>-1.713076765217492E-2</v>
      </c>
    </row>
    <row r="122" spans="1:18" ht="17.399999999999999" x14ac:dyDescent="0.4">
      <c r="A122" s="12" t="s">
        <v>531</v>
      </c>
      <c r="B122" s="13">
        <v>170308961792</v>
      </c>
      <c r="C122" s="13">
        <v>173082697537</v>
      </c>
      <c r="D122" s="13">
        <v>2773735745</v>
      </c>
      <c r="E122" s="13">
        <v>4539925</v>
      </c>
      <c r="F122" s="13">
        <v>3368247</v>
      </c>
      <c r="G122" s="13">
        <v>51387</v>
      </c>
      <c r="H122" s="13">
        <v>38125</v>
      </c>
      <c r="I122" s="14" t="s">
        <v>460</v>
      </c>
      <c r="J122" s="14" t="s">
        <v>24</v>
      </c>
      <c r="K122" s="16" t="s">
        <v>532</v>
      </c>
      <c r="L122" s="16" t="s">
        <v>532</v>
      </c>
      <c r="M122" s="16" t="s">
        <v>365</v>
      </c>
      <c r="N122" s="16" t="s">
        <v>342</v>
      </c>
      <c r="O122" s="16" t="s">
        <v>509</v>
      </c>
      <c r="P122" s="20">
        <f t="shared" si="5"/>
        <v>-2.7325343051628238E-2</v>
      </c>
      <c r="Q122" s="20">
        <f t="shared" si="6"/>
        <v>-1.3557292843609309E-2</v>
      </c>
      <c r="R122" s="20">
        <f t="shared" si="7"/>
        <v>-1.1026771374260747E-2</v>
      </c>
    </row>
    <row r="123" spans="1:18" ht="17.399999999999999" x14ac:dyDescent="0.4">
      <c r="A123" s="12" t="s">
        <v>533</v>
      </c>
      <c r="B123" s="13">
        <v>187290077821</v>
      </c>
      <c r="C123" s="13">
        <v>189687867562</v>
      </c>
      <c r="D123" s="13">
        <v>2397789741</v>
      </c>
      <c r="E123" s="13">
        <v>4993040</v>
      </c>
      <c r="F123" s="13">
        <v>3642035</v>
      </c>
      <c r="G123" s="13">
        <v>52083</v>
      </c>
      <c r="H123" s="13">
        <v>37990</v>
      </c>
      <c r="I123" s="14" t="s">
        <v>23</v>
      </c>
      <c r="J123" s="14" t="s">
        <v>24</v>
      </c>
      <c r="K123" s="15" t="s">
        <v>534</v>
      </c>
      <c r="L123" s="15" t="s">
        <v>535</v>
      </c>
      <c r="M123" s="16" t="s">
        <v>131</v>
      </c>
      <c r="N123" s="15" t="s">
        <v>534</v>
      </c>
      <c r="O123" s="15" t="s">
        <v>395</v>
      </c>
      <c r="P123" s="20">
        <f t="shared" si="5"/>
        <v>3.6626830437292673E-2</v>
      </c>
      <c r="Q123" s="20">
        <f t="shared" si="6"/>
        <v>2.017573934054636E-2</v>
      </c>
      <c r="R123" s="20">
        <f t="shared" si="7"/>
        <v>9.8902857085815168E-3</v>
      </c>
    </row>
    <row r="124" spans="1:18" ht="17.399999999999999" x14ac:dyDescent="0.4">
      <c r="A124" s="12" t="s">
        <v>536</v>
      </c>
      <c r="B124" s="13">
        <v>231989608615</v>
      </c>
      <c r="C124" s="13">
        <v>234923474569</v>
      </c>
      <c r="D124" s="13">
        <v>2933865954</v>
      </c>
      <c r="E124" s="13">
        <v>7249670</v>
      </c>
      <c r="F124" s="13">
        <v>4428821</v>
      </c>
      <c r="G124" s="13">
        <v>53044</v>
      </c>
      <c r="H124" s="13">
        <v>32405</v>
      </c>
      <c r="I124" s="14" t="s">
        <v>95</v>
      </c>
      <c r="J124" s="14" t="s">
        <v>24</v>
      </c>
      <c r="K124" s="15" t="s">
        <v>537</v>
      </c>
      <c r="L124" s="15" t="s">
        <v>538</v>
      </c>
      <c r="M124" s="15" t="s">
        <v>539</v>
      </c>
      <c r="N124" s="15" t="s">
        <v>540</v>
      </c>
      <c r="O124" s="15" t="s">
        <v>469</v>
      </c>
      <c r="P124" s="20">
        <f t="shared" si="5"/>
        <v>2.0460175395803901E-2</v>
      </c>
      <c r="Q124" s="20">
        <f t="shared" si="6"/>
        <v>3.357474461344042E-2</v>
      </c>
      <c r="R124" s="20">
        <f t="shared" si="7"/>
        <v>1.5748988624940456E-2</v>
      </c>
    </row>
    <row r="125" spans="1:18" ht="17.399999999999999" x14ac:dyDescent="0.4">
      <c r="A125" s="12" t="s">
        <v>541</v>
      </c>
      <c r="B125" s="13">
        <v>163496625577</v>
      </c>
      <c r="C125" s="13">
        <v>166223579046</v>
      </c>
      <c r="D125" s="13">
        <v>2726953469</v>
      </c>
      <c r="E125" s="13">
        <v>6792343</v>
      </c>
      <c r="F125" s="13">
        <v>4183458</v>
      </c>
      <c r="G125" s="13">
        <v>39734</v>
      </c>
      <c r="H125" s="13">
        <v>24472</v>
      </c>
      <c r="I125" s="14" t="s">
        <v>95</v>
      </c>
      <c r="J125" s="14" t="s">
        <v>24</v>
      </c>
      <c r="K125" s="16" t="s">
        <v>223</v>
      </c>
      <c r="L125" s="16" t="s">
        <v>191</v>
      </c>
      <c r="M125" s="16" t="s">
        <v>495</v>
      </c>
      <c r="N125" s="16" t="s">
        <v>195</v>
      </c>
      <c r="O125" s="16" t="s">
        <v>542</v>
      </c>
      <c r="P125" s="20">
        <f t="shared" si="5"/>
        <v>-1.6982257041404367E-2</v>
      </c>
      <c r="Q125" s="20">
        <f t="shared" si="6"/>
        <v>2.5514886804243592E-2</v>
      </c>
      <c r="R125" s="20">
        <f t="shared" si="7"/>
        <v>-7.9568187142934378E-3</v>
      </c>
    </row>
    <row r="126" spans="1:18" ht="17.399999999999999" x14ac:dyDescent="0.4">
      <c r="A126" s="12" t="s">
        <v>543</v>
      </c>
      <c r="B126" s="13">
        <v>202190405529</v>
      </c>
      <c r="C126" s="13">
        <v>205471976690</v>
      </c>
      <c r="D126" s="13">
        <v>3281571161</v>
      </c>
      <c r="E126" s="13">
        <v>6532549</v>
      </c>
      <c r="F126" s="13">
        <v>4046234</v>
      </c>
      <c r="G126" s="13">
        <v>50781</v>
      </c>
      <c r="H126" s="13">
        <v>31454</v>
      </c>
      <c r="I126" s="14" t="s">
        <v>95</v>
      </c>
      <c r="J126" s="14" t="s">
        <v>24</v>
      </c>
      <c r="K126" s="15" t="s">
        <v>455</v>
      </c>
      <c r="L126" s="15" t="s">
        <v>544</v>
      </c>
      <c r="M126" s="15" t="s">
        <v>257</v>
      </c>
      <c r="N126" s="16" t="s">
        <v>305</v>
      </c>
      <c r="O126" s="16" t="s">
        <v>525</v>
      </c>
      <c r="P126" s="20">
        <f t="shared" si="5"/>
        <v>8.4781026161646292E-3</v>
      </c>
      <c r="Q126" s="20">
        <f t="shared" si="6"/>
        <v>1.3369709400478999E-2</v>
      </c>
      <c r="R126" s="20">
        <f t="shared" si="7"/>
        <v>-7.5179965875899341E-3</v>
      </c>
    </row>
    <row r="127" spans="1:18" ht="17.399999999999999" x14ac:dyDescent="0.4">
      <c r="A127" s="12" t="s">
        <v>545</v>
      </c>
      <c r="B127" s="13">
        <v>192446430238</v>
      </c>
      <c r="C127" s="13">
        <v>195639245328</v>
      </c>
      <c r="D127" s="13">
        <v>3192815090</v>
      </c>
      <c r="E127" s="13">
        <v>6244430</v>
      </c>
      <c r="F127" s="13">
        <v>3952257</v>
      </c>
      <c r="G127" s="13">
        <v>49501</v>
      </c>
      <c r="H127" s="13">
        <v>31330</v>
      </c>
      <c r="I127" s="14" t="s">
        <v>95</v>
      </c>
      <c r="J127" s="14" t="s">
        <v>24</v>
      </c>
      <c r="K127" s="16" t="s">
        <v>155</v>
      </c>
      <c r="L127" s="16" t="s">
        <v>155</v>
      </c>
      <c r="M127" s="16" t="s">
        <v>389</v>
      </c>
      <c r="N127" s="16" t="s">
        <v>447</v>
      </c>
      <c r="O127" s="16" t="s">
        <v>92</v>
      </c>
      <c r="P127" s="20">
        <f t="shared" si="5"/>
        <v>4.9984584559433706E-3</v>
      </c>
      <c r="Q127" s="20">
        <f t="shared" si="6"/>
        <v>1.3381755061529004E-2</v>
      </c>
      <c r="R127" s="20">
        <f t="shared" si="7"/>
        <v>3.048286832852568E-3</v>
      </c>
    </row>
    <row r="128" spans="1:18" ht="17.399999999999999" x14ac:dyDescent="0.4">
      <c r="A128" s="12" t="s">
        <v>546</v>
      </c>
      <c r="B128" s="13">
        <v>230248697945</v>
      </c>
      <c r="C128" s="13">
        <v>234307360840</v>
      </c>
      <c r="D128" s="13">
        <v>4058662895</v>
      </c>
      <c r="E128" s="13">
        <v>5425834</v>
      </c>
      <c r="F128" s="13">
        <v>3562695</v>
      </c>
      <c r="G128" s="13">
        <v>65767</v>
      </c>
      <c r="H128" s="13">
        <v>43184</v>
      </c>
      <c r="I128" s="14" t="s">
        <v>41</v>
      </c>
      <c r="J128" s="14" t="s">
        <v>24</v>
      </c>
      <c r="K128" s="15" t="s">
        <v>547</v>
      </c>
      <c r="L128" s="15" t="s">
        <v>98</v>
      </c>
      <c r="M128" s="15" t="s">
        <v>548</v>
      </c>
      <c r="N128" s="16" t="s">
        <v>549</v>
      </c>
      <c r="O128" s="16" t="s">
        <v>550</v>
      </c>
      <c r="P128" s="20">
        <f t="shared" si="5"/>
        <v>-1.3245663520046623E-2</v>
      </c>
      <c r="Q128" s="20">
        <f t="shared" si="6"/>
        <v>-4.7051389141603436E-2</v>
      </c>
      <c r="R128" s="20">
        <f t="shared" si="7"/>
        <v>-4.5096837292603033E-2</v>
      </c>
    </row>
    <row r="129" spans="1:18" ht="17.399999999999999" x14ac:dyDescent="0.4">
      <c r="A129" s="12" t="s">
        <v>551</v>
      </c>
      <c r="B129" s="13">
        <v>217372614597</v>
      </c>
      <c r="C129" s="13">
        <v>220825559602</v>
      </c>
      <c r="D129" s="13">
        <v>3452945006</v>
      </c>
      <c r="E129" s="13">
        <v>5371001</v>
      </c>
      <c r="F129" s="13">
        <v>3879497</v>
      </c>
      <c r="G129" s="13">
        <v>56921</v>
      </c>
      <c r="H129" s="13">
        <v>41114</v>
      </c>
      <c r="I129" s="14" t="s">
        <v>23</v>
      </c>
      <c r="J129" s="14" t="s">
        <v>24</v>
      </c>
      <c r="K129" s="16" t="s">
        <v>392</v>
      </c>
      <c r="L129" s="16" t="s">
        <v>89</v>
      </c>
      <c r="M129" s="16" t="s">
        <v>352</v>
      </c>
      <c r="N129" s="16" t="s">
        <v>211</v>
      </c>
      <c r="O129" s="15" t="s">
        <v>552</v>
      </c>
      <c r="P129" s="20">
        <f t="shared" si="5"/>
        <v>0.27634278495854669</v>
      </c>
      <c r="Q129" s="20">
        <f t="shared" si="6"/>
        <v>0.18305941177442359</v>
      </c>
      <c r="R129" s="20">
        <f t="shared" si="7"/>
        <v>0.15178518677519789</v>
      </c>
    </row>
    <row r="130" spans="1:18" ht="17.399999999999999" x14ac:dyDescent="0.4">
      <c r="A130" s="12" t="s">
        <v>553</v>
      </c>
      <c r="B130" s="13">
        <v>257546631606</v>
      </c>
      <c r="C130" s="13">
        <v>261081546491</v>
      </c>
      <c r="D130" s="13">
        <v>3534914885</v>
      </c>
      <c r="E130" s="13">
        <v>5631009</v>
      </c>
      <c r="F130" s="13">
        <v>4068615</v>
      </c>
      <c r="G130" s="13">
        <v>64170</v>
      </c>
      <c r="H130" s="13">
        <v>46365</v>
      </c>
      <c r="I130" s="14" t="s">
        <v>23</v>
      </c>
      <c r="J130" s="14" t="s">
        <v>24</v>
      </c>
      <c r="K130" s="15" t="s">
        <v>554</v>
      </c>
      <c r="L130" s="15" t="s">
        <v>394</v>
      </c>
      <c r="M130" s="15" t="s">
        <v>288</v>
      </c>
      <c r="N130" s="15" t="s">
        <v>345</v>
      </c>
      <c r="O130" s="15" t="s">
        <v>555</v>
      </c>
      <c r="P130" s="20">
        <f t="shared" si="5"/>
        <v>0.37512160068696626</v>
      </c>
      <c r="Q130" s="20">
        <f t="shared" si="6"/>
        <v>0.1277716581481422</v>
      </c>
      <c r="R130" s="20">
        <f t="shared" si="7"/>
        <v>0.11712682607388451</v>
      </c>
    </row>
    <row r="131" spans="1:18" ht="17.399999999999999" x14ac:dyDescent="0.4">
      <c r="A131" s="12" t="s">
        <v>556</v>
      </c>
      <c r="B131" s="13">
        <v>232730592187</v>
      </c>
      <c r="C131" s="13">
        <v>235691684951</v>
      </c>
      <c r="D131" s="13">
        <v>2961092763</v>
      </c>
      <c r="E131" s="13">
        <v>7852186</v>
      </c>
      <c r="F131" s="13">
        <v>4802084</v>
      </c>
      <c r="G131" s="13">
        <v>49081</v>
      </c>
      <c r="H131" s="13">
        <v>30016</v>
      </c>
      <c r="I131" s="14" t="s">
        <v>95</v>
      </c>
      <c r="J131" s="14" t="s">
        <v>24</v>
      </c>
      <c r="K131" s="16" t="s">
        <v>437</v>
      </c>
      <c r="L131" s="16" t="s">
        <v>509</v>
      </c>
      <c r="M131" s="16" t="s">
        <v>557</v>
      </c>
      <c r="N131" s="15" t="s">
        <v>558</v>
      </c>
      <c r="O131" s="15" t="s">
        <v>559</v>
      </c>
      <c r="P131" s="20">
        <f t="shared" si="5"/>
        <v>3.194037769293816E-3</v>
      </c>
      <c r="Q131" s="20">
        <f t="shared" si="6"/>
        <v>8.3109438084767992E-2</v>
      </c>
      <c r="R131" s="20">
        <f t="shared" si="7"/>
        <v>8.4280443937562621E-2</v>
      </c>
    </row>
    <row r="132" spans="1:18" ht="17.399999999999999" x14ac:dyDescent="0.4">
      <c r="A132" s="12" t="s">
        <v>560</v>
      </c>
      <c r="B132" s="13">
        <v>209837870001</v>
      </c>
      <c r="C132" s="13">
        <v>213739628011</v>
      </c>
      <c r="D132" s="13">
        <v>3901758010</v>
      </c>
      <c r="E132" s="13">
        <v>7341633</v>
      </c>
      <c r="F132" s="13">
        <v>4578709</v>
      </c>
      <c r="G132" s="13">
        <v>46681</v>
      </c>
      <c r="H132" s="13">
        <v>29113</v>
      </c>
      <c r="I132" s="14" t="s">
        <v>95</v>
      </c>
      <c r="J132" s="14" t="s">
        <v>24</v>
      </c>
      <c r="K132" s="16" t="s">
        <v>27</v>
      </c>
      <c r="L132" s="16" t="s">
        <v>366</v>
      </c>
      <c r="M132" s="15" t="s">
        <v>561</v>
      </c>
      <c r="N132" s="16" t="s">
        <v>562</v>
      </c>
      <c r="O132" s="16" t="s">
        <v>265</v>
      </c>
      <c r="P132" s="20">
        <f t="shared" si="5"/>
        <v>0.28343853740379021</v>
      </c>
      <c r="Q132" s="20">
        <f t="shared" si="6"/>
        <v>8.0869002051280392E-2</v>
      </c>
      <c r="R132" s="20">
        <f t="shared" si="7"/>
        <v>9.4479495192732896E-2</v>
      </c>
    </row>
    <row r="133" spans="1:18" ht="17.399999999999999" x14ac:dyDescent="0.4">
      <c r="A133" s="12" t="s">
        <v>563</v>
      </c>
      <c r="B133" s="13">
        <v>211361306166</v>
      </c>
      <c r="C133" s="13">
        <v>215008929744</v>
      </c>
      <c r="D133" s="13">
        <v>3647623577</v>
      </c>
      <c r="E133" s="13">
        <v>7210469</v>
      </c>
      <c r="F133" s="13">
        <v>4528007</v>
      </c>
      <c r="G133" s="13">
        <v>47484</v>
      </c>
      <c r="H133" s="13">
        <v>29819</v>
      </c>
      <c r="I133" s="14" t="s">
        <v>95</v>
      </c>
      <c r="J133" s="14" t="s">
        <v>24</v>
      </c>
      <c r="K133" s="15" t="s">
        <v>150</v>
      </c>
      <c r="L133" s="15" t="s">
        <v>201</v>
      </c>
      <c r="M133" s="16" t="s">
        <v>562</v>
      </c>
      <c r="N133" s="16" t="s">
        <v>93</v>
      </c>
      <c r="O133" s="16" t="s">
        <v>450</v>
      </c>
      <c r="P133" s="20">
        <f t="shared" si="5"/>
        <v>4.5357743919676868E-2</v>
      </c>
      <c r="Q133" s="20">
        <f t="shared" si="6"/>
        <v>0.10377572368764475</v>
      </c>
      <c r="R133" s="20">
        <f t="shared" si="7"/>
        <v>0.11906701391961018</v>
      </c>
    </row>
    <row r="134" spans="1:18" ht="17.399999999999999" x14ac:dyDescent="0.4">
      <c r="A134" s="12" t="s">
        <v>564</v>
      </c>
      <c r="B134" s="13">
        <v>191707730164</v>
      </c>
      <c r="C134" s="13">
        <v>194861221694</v>
      </c>
      <c r="D134" s="13">
        <v>3153491531</v>
      </c>
      <c r="E134" s="13">
        <v>6916368</v>
      </c>
      <c r="F134" s="13">
        <v>4403995</v>
      </c>
      <c r="G134" s="13">
        <v>44246</v>
      </c>
      <c r="H134" s="13">
        <v>28174</v>
      </c>
      <c r="I134" s="14" t="s">
        <v>95</v>
      </c>
      <c r="J134" s="14" t="s">
        <v>24</v>
      </c>
      <c r="K134" s="16" t="s">
        <v>366</v>
      </c>
      <c r="L134" s="16" t="s">
        <v>565</v>
      </c>
      <c r="M134" s="16" t="s">
        <v>222</v>
      </c>
      <c r="N134" s="16" t="s">
        <v>164</v>
      </c>
      <c r="O134" s="16" t="s">
        <v>389</v>
      </c>
      <c r="P134" s="20">
        <f t="shared" si="5"/>
        <v>-3.8384711687633999E-3</v>
      </c>
      <c r="Q134" s="20">
        <f t="shared" si="6"/>
        <v>0.10760597844799286</v>
      </c>
      <c r="R134" s="20">
        <f t="shared" si="7"/>
        <v>0.11429874120028126</v>
      </c>
    </row>
    <row r="135" spans="1:18" ht="17.399999999999999" x14ac:dyDescent="0.4">
      <c r="A135" s="12" t="s">
        <v>566</v>
      </c>
      <c r="B135" s="13">
        <v>140653348743</v>
      </c>
      <c r="C135" s="13">
        <v>143183399936</v>
      </c>
      <c r="D135" s="13">
        <v>2530051194</v>
      </c>
      <c r="E135" s="13">
        <v>6250944</v>
      </c>
      <c r="F135" s="13">
        <v>4036377</v>
      </c>
      <c r="G135" s="13">
        <v>35473</v>
      </c>
      <c r="H135" s="13">
        <v>22906</v>
      </c>
      <c r="I135" s="14" t="s">
        <v>41</v>
      </c>
      <c r="J135" s="14" t="s">
        <v>24</v>
      </c>
      <c r="K135" s="16" t="s">
        <v>511</v>
      </c>
      <c r="L135" s="16" t="s">
        <v>524</v>
      </c>
      <c r="M135" s="16" t="s">
        <v>407</v>
      </c>
      <c r="N135" s="16" t="s">
        <v>437</v>
      </c>
      <c r="O135" s="16" t="s">
        <v>418</v>
      </c>
      <c r="P135" s="20">
        <f t="shared" si="5"/>
        <v>-0.3891242382764824</v>
      </c>
      <c r="Q135" s="20">
        <f t="shared" si="6"/>
        <v>0.1520706309850246</v>
      </c>
      <c r="R135" s="20">
        <f t="shared" si="7"/>
        <v>0.13295609082450224</v>
      </c>
    </row>
    <row r="136" spans="1:18" ht="17.399999999999999" x14ac:dyDescent="0.4">
      <c r="A136" s="12" t="s">
        <v>567</v>
      </c>
      <c r="B136" s="13">
        <v>180917526455</v>
      </c>
      <c r="C136" s="13">
        <v>184088868861</v>
      </c>
      <c r="D136" s="13">
        <v>3171342406</v>
      </c>
      <c r="E136" s="13">
        <v>5100878</v>
      </c>
      <c r="F136" s="13">
        <v>3676469</v>
      </c>
      <c r="G136" s="13">
        <v>50072</v>
      </c>
      <c r="H136" s="13">
        <v>36090</v>
      </c>
      <c r="I136" s="14" t="s">
        <v>23</v>
      </c>
      <c r="J136" s="14" t="s">
        <v>24</v>
      </c>
      <c r="K136" s="15" t="s">
        <v>440</v>
      </c>
      <c r="L136" s="15" t="s">
        <v>440</v>
      </c>
      <c r="M136" s="15" t="s">
        <v>467</v>
      </c>
      <c r="N136" s="16" t="s">
        <v>568</v>
      </c>
      <c r="O136" s="16" t="s">
        <v>496</v>
      </c>
      <c r="P136" s="20">
        <f t="shared" ref="P136:P199" si="8">(B136-B129)/B129</f>
        <v>-0.16770782377341439</v>
      </c>
      <c r="Q136" s="20">
        <f t="shared" si="6"/>
        <v>-5.0292859748117716E-2</v>
      </c>
      <c r="R136" s="20">
        <f t="shared" si="7"/>
        <v>-5.2333588606976629E-2</v>
      </c>
    </row>
    <row r="137" spans="1:18" ht="17.399999999999999" x14ac:dyDescent="0.4">
      <c r="A137" s="12" t="s">
        <v>569</v>
      </c>
      <c r="B137" s="13">
        <v>226593179971</v>
      </c>
      <c r="C137" s="13">
        <v>229808146016</v>
      </c>
      <c r="D137" s="13">
        <v>3214966044</v>
      </c>
      <c r="E137" s="13">
        <v>5290400</v>
      </c>
      <c r="F137" s="13">
        <v>3870668</v>
      </c>
      <c r="G137" s="13">
        <v>59372</v>
      </c>
      <c r="H137" s="13">
        <v>43439</v>
      </c>
      <c r="I137" s="14" t="s">
        <v>23</v>
      </c>
      <c r="J137" s="14" t="s">
        <v>24</v>
      </c>
      <c r="K137" s="15" t="s">
        <v>570</v>
      </c>
      <c r="L137" s="15" t="s">
        <v>423</v>
      </c>
      <c r="M137" s="15" t="s">
        <v>227</v>
      </c>
      <c r="N137" s="15" t="s">
        <v>571</v>
      </c>
      <c r="O137" s="15" t="s">
        <v>572</v>
      </c>
      <c r="P137" s="20">
        <f t="shared" si="8"/>
        <v>-0.12018581428140443</v>
      </c>
      <c r="Q137" s="20">
        <f t="shared" si="6"/>
        <v>-6.0488093696884522E-2</v>
      </c>
      <c r="R137" s="20">
        <f t="shared" si="7"/>
        <v>-4.8652182622342E-2</v>
      </c>
    </row>
    <row r="138" spans="1:18" ht="17.399999999999999" x14ac:dyDescent="0.4">
      <c r="A138" s="12" t="s">
        <v>573</v>
      </c>
      <c r="B138" s="13">
        <v>222838171375</v>
      </c>
      <c r="C138" s="13">
        <v>225423571135</v>
      </c>
      <c r="D138" s="13">
        <v>2585399759</v>
      </c>
      <c r="E138" s="13">
        <v>7979376</v>
      </c>
      <c r="F138" s="13">
        <v>4833187</v>
      </c>
      <c r="G138" s="13">
        <v>46641</v>
      </c>
      <c r="H138" s="13">
        <v>28251</v>
      </c>
      <c r="I138" s="14" t="s">
        <v>48</v>
      </c>
      <c r="J138" s="14" t="s">
        <v>24</v>
      </c>
      <c r="K138" s="16" t="s">
        <v>97</v>
      </c>
      <c r="L138" s="16" t="s">
        <v>86</v>
      </c>
      <c r="M138" s="16" t="s">
        <v>296</v>
      </c>
      <c r="N138" s="15" t="s">
        <v>574</v>
      </c>
      <c r="O138" s="15" t="s">
        <v>575</v>
      </c>
      <c r="P138" s="20">
        <f t="shared" si="8"/>
        <v>-4.2505889402160754E-2</v>
      </c>
      <c r="Q138" s="20">
        <f t="shared" si="6"/>
        <v>1.6198037081648346E-2</v>
      </c>
      <c r="R138" s="20">
        <f t="shared" si="7"/>
        <v>6.4769795780332037E-3</v>
      </c>
    </row>
    <row r="139" spans="1:18" ht="17.399999999999999" x14ac:dyDescent="0.4">
      <c r="A139" s="12" t="s">
        <v>576</v>
      </c>
      <c r="B139" s="13">
        <v>195023843960</v>
      </c>
      <c r="C139" s="13">
        <v>198243052187</v>
      </c>
      <c r="D139" s="13">
        <v>3219208227</v>
      </c>
      <c r="E139" s="13">
        <v>7144720</v>
      </c>
      <c r="F139" s="13">
        <v>4421316</v>
      </c>
      <c r="G139" s="13">
        <v>44838</v>
      </c>
      <c r="H139" s="13">
        <v>27747</v>
      </c>
      <c r="I139" s="14" t="s">
        <v>95</v>
      </c>
      <c r="J139" s="14" t="s">
        <v>24</v>
      </c>
      <c r="K139" s="16" t="s">
        <v>189</v>
      </c>
      <c r="L139" s="16" t="s">
        <v>577</v>
      </c>
      <c r="M139" s="15" t="s">
        <v>578</v>
      </c>
      <c r="N139" s="16" t="s">
        <v>243</v>
      </c>
      <c r="O139" s="16" t="s">
        <v>55</v>
      </c>
      <c r="P139" s="20">
        <f t="shared" si="8"/>
        <v>-7.0597485768080864E-2</v>
      </c>
      <c r="Q139" s="20">
        <f t="shared" si="6"/>
        <v>-2.6821416979029053E-2</v>
      </c>
      <c r="R139" s="20">
        <f t="shared" si="7"/>
        <v>-3.4374973382235038E-2</v>
      </c>
    </row>
    <row r="140" spans="1:18" ht="17.399999999999999" x14ac:dyDescent="0.4">
      <c r="A140" s="12" t="s">
        <v>579</v>
      </c>
      <c r="B140" s="13">
        <v>200414953248</v>
      </c>
      <c r="C140" s="13">
        <v>203738206742</v>
      </c>
      <c r="D140" s="13">
        <v>3323253494</v>
      </c>
      <c r="E140" s="13">
        <v>7141964</v>
      </c>
      <c r="F140" s="13">
        <v>4433141</v>
      </c>
      <c r="G140" s="13">
        <v>45958</v>
      </c>
      <c r="H140" s="13">
        <v>28527</v>
      </c>
      <c r="I140" s="14" t="s">
        <v>95</v>
      </c>
      <c r="J140" s="14" t="s">
        <v>24</v>
      </c>
      <c r="K140" s="15" t="s">
        <v>141</v>
      </c>
      <c r="L140" s="15" t="s">
        <v>141</v>
      </c>
      <c r="M140" s="15" t="s">
        <v>126</v>
      </c>
      <c r="N140" s="13" t="s">
        <v>349</v>
      </c>
      <c r="O140" s="15" t="s">
        <v>61</v>
      </c>
      <c r="P140" s="20">
        <f t="shared" si="8"/>
        <v>-5.178976756229401E-2</v>
      </c>
      <c r="Q140" s="20">
        <f t="shared" si="6"/>
        <v>-9.5007689513677968E-3</v>
      </c>
      <c r="R140" s="20">
        <f t="shared" si="7"/>
        <v>-2.0950939342629107E-2</v>
      </c>
    </row>
    <row r="141" spans="1:18" ht="17.399999999999999" x14ac:dyDescent="0.4">
      <c r="A141" s="12" t="s">
        <v>580</v>
      </c>
      <c r="B141" s="13">
        <v>182302761575</v>
      </c>
      <c r="C141" s="13">
        <v>185086711227</v>
      </c>
      <c r="D141" s="13">
        <v>2783949652</v>
      </c>
      <c r="E141" s="13">
        <v>6702664</v>
      </c>
      <c r="F141" s="13">
        <v>4270379</v>
      </c>
      <c r="G141" s="13">
        <v>43342</v>
      </c>
      <c r="H141" s="13">
        <v>27614</v>
      </c>
      <c r="I141" s="14" t="s">
        <v>95</v>
      </c>
      <c r="J141" s="14" t="s">
        <v>24</v>
      </c>
      <c r="K141" s="16" t="s">
        <v>380</v>
      </c>
      <c r="L141" s="16" t="s">
        <v>99</v>
      </c>
      <c r="M141" s="16" t="s">
        <v>557</v>
      </c>
      <c r="N141" s="16" t="s">
        <v>581</v>
      </c>
      <c r="O141" s="16" t="s">
        <v>241</v>
      </c>
      <c r="P141" s="20">
        <f t="shared" si="8"/>
        <v>-4.9058890744542963E-2</v>
      </c>
      <c r="Q141" s="20">
        <f t="shared" si="6"/>
        <v>-3.0898298066268308E-2</v>
      </c>
      <c r="R141" s="20">
        <f t="shared" si="7"/>
        <v>-3.0339725635474154E-2</v>
      </c>
    </row>
    <row r="142" spans="1:18" ht="17.399999999999999" x14ac:dyDescent="0.4">
      <c r="A142" s="12" t="s">
        <v>582</v>
      </c>
      <c r="B142" s="13">
        <v>134136833164</v>
      </c>
      <c r="C142" s="13">
        <v>136487157251</v>
      </c>
      <c r="D142" s="13">
        <v>2350324087</v>
      </c>
      <c r="E142" s="13">
        <v>5998786</v>
      </c>
      <c r="F142" s="13">
        <v>3939531</v>
      </c>
      <c r="G142" s="13">
        <v>34646</v>
      </c>
      <c r="H142" s="13">
        <v>22752</v>
      </c>
      <c r="I142" s="14" t="s">
        <v>41</v>
      </c>
      <c r="J142" s="14" t="s">
        <v>24</v>
      </c>
      <c r="K142" s="16" t="s">
        <v>583</v>
      </c>
      <c r="L142" s="16" t="s">
        <v>480</v>
      </c>
      <c r="M142" s="16" t="s">
        <v>375</v>
      </c>
      <c r="N142" s="16" t="s">
        <v>243</v>
      </c>
      <c r="O142" s="16" t="s">
        <v>316</v>
      </c>
      <c r="P142" s="20">
        <f t="shared" si="8"/>
        <v>-4.6330326559852433E-2</v>
      </c>
      <c r="Q142" s="20">
        <f t="shared" ref="Q142:Q205" si="9">(E142-E135)/E135</f>
        <v>-4.0339187169169968E-2</v>
      </c>
      <c r="R142" s="20">
        <f t="shared" ref="R142:R205" si="10">(F142-F135)/F135</f>
        <v>-2.3993298941104857E-2</v>
      </c>
    </row>
    <row r="143" spans="1:18" ht="17.399999999999999" x14ac:dyDescent="0.4">
      <c r="A143" s="12" t="s">
        <v>409</v>
      </c>
      <c r="B143" s="13">
        <v>176884924854</v>
      </c>
      <c r="C143" s="13">
        <v>179787840989</v>
      </c>
      <c r="D143" s="13">
        <v>2902916134</v>
      </c>
      <c r="E143" s="13">
        <v>4975013</v>
      </c>
      <c r="F143" s="13">
        <v>3663451</v>
      </c>
      <c r="G143" s="13">
        <v>49076</v>
      </c>
      <c r="H143" s="13">
        <v>36138</v>
      </c>
      <c r="I143" s="14" t="s">
        <v>23</v>
      </c>
      <c r="J143" s="14" t="s">
        <v>24</v>
      </c>
      <c r="K143" s="15" t="s">
        <v>410</v>
      </c>
      <c r="L143" s="15" t="s">
        <v>411</v>
      </c>
      <c r="M143" s="15" t="s">
        <v>387</v>
      </c>
      <c r="N143" s="16" t="s">
        <v>412</v>
      </c>
      <c r="O143" s="16" t="s">
        <v>413</v>
      </c>
      <c r="P143" s="20">
        <f t="shared" si="8"/>
        <v>-2.22897232789828E-2</v>
      </c>
      <c r="Q143" s="20">
        <f t="shared" si="9"/>
        <v>-2.467516376592422E-2</v>
      </c>
      <c r="R143" s="20">
        <f t="shared" si="10"/>
        <v>-3.5408975296677327E-3</v>
      </c>
    </row>
    <row r="144" spans="1:18" ht="17.399999999999999" x14ac:dyDescent="0.4">
      <c r="A144" s="12" t="s">
        <v>414</v>
      </c>
      <c r="B144" s="13">
        <v>229396709299</v>
      </c>
      <c r="C144" s="13">
        <v>232300297795</v>
      </c>
      <c r="D144" s="13">
        <v>2903588496</v>
      </c>
      <c r="E144" s="13">
        <v>5316100</v>
      </c>
      <c r="F144" s="13">
        <v>3892325</v>
      </c>
      <c r="G144" s="13">
        <v>59682</v>
      </c>
      <c r="H144" s="13">
        <v>43698</v>
      </c>
      <c r="I144" s="14" t="s">
        <v>23</v>
      </c>
      <c r="J144" s="14" t="s">
        <v>24</v>
      </c>
      <c r="K144" s="15" t="s">
        <v>415</v>
      </c>
      <c r="L144" s="15" t="s">
        <v>49</v>
      </c>
      <c r="M144" s="13" t="s">
        <v>349</v>
      </c>
      <c r="N144" s="15" t="s">
        <v>362</v>
      </c>
      <c r="O144" s="15" t="s">
        <v>416</v>
      </c>
      <c r="P144" s="20">
        <f t="shared" si="8"/>
        <v>1.2372522987491518E-2</v>
      </c>
      <c r="Q144" s="20">
        <f t="shared" si="9"/>
        <v>4.8578557386965071E-3</v>
      </c>
      <c r="R144" s="20">
        <f t="shared" si="10"/>
        <v>5.5951582517539608E-3</v>
      </c>
    </row>
    <row r="145" spans="1:18" ht="17.399999999999999" x14ac:dyDescent="0.4">
      <c r="A145" s="12" t="s">
        <v>417</v>
      </c>
      <c r="B145" s="13">
        <v>210457539277</v>
      </c>
      <c r="C145" s="13">
        <v>213002046619</v>
      </c>
      <c r="D145" s="13">
        <v>2544507342</v>
      </c>
      <c r="E145" s="13">
        <v>7485704</v>
      </c>
      <c r="F145" s="13">
        <v>4605021</v>
      </c>
      <c r="G145" s="13">
        <v>46254</v>
      </c>
      <c r="H145" s="13">
        <v>28455</v>
      </c>
      <c r="I145" s="14" t="s">
        <v>95</v>
      </c>
      <c r="J145" s="14" t="s">
        <v>24</v>
      </c>
      <c r="K145" s="16" t="s">
        <v>418</v>
      </c>
      <c r="L145" s="16" t="s">
        <v>418</v>
      </c>
      <c r="M145" s="16" t="s">
        <v>397</v>
      </c>
      <c r="N145" s="15" t="s">
        <v>419</v>
      </c>
      <c r="O145" s="15" t="s">
        <v>420</v>
      </c>
      <c r="P145" s="20">
        <f t="shared" si="8"/>
        <v>-5.5558848026828547E-2</v>
      </c>
      <c r="Q145" s="20">
        <f t="shared" si="9"/>
        <v>-6.1868496985227915E-2</v>
      </c>
      <c r="R145" s="20">
        <f t="shared" si="10"/>
        <v>-4.7208187889274715E-2</v>
      </c>
    </row>
    <row r="146" spans="1:18" ht="17.399999999999999" x14ac:dyDescent="0.4">
      <c r="A146" s="12" t="s">
        <v>421</v>
      </c>
      <c r="B146" s="13">
        <v>204148041415</v>
      </c>
      <c r="C146" s="13">
        <v>207322825611</v>
      </c>
      <c r="D146" s="13">
        <v>3174784196</v>
      </c>
      <c r="E146" s="13">
        <v>7440488</v>
      </c>
      <c r="F146" s="13">
        <v>4559247</v>
      </c>
      <c r="G146" s="13">
        <v>45473</v>
      </c>
      <c r="H146" s="13">
        <v>27864</v>
      </c>
      <c r="I146" s="14" t="s">
        <v>95</v>
      </c>
      <c r="J146" s="14" t="s">
        <v>24</v>
      </c>
      <c r="K146" s="16" t="s">
        <v>422</v>
      </c>
      <c r="L146" s="16" t="s">
        <v>389</v>
      </c>
      <c r="M146" s="15" t="s">
        <v>423</v>
      </c>
      <c r="N146" s="16" t="s">
        <v>424</v>
      </c>
      <c r="O146" s="16" t="s">
        <v>211</v>
      </c>
      <c r="P146" s="20">
        <f t="shared" si="8"/>
        <v>4.6785035458902148E-2</v>
      </c>
      <c r="Q146" s="20">
        <f t="shared" si="9"/>
        <v>4.1396723734450053E-2</v>
      </c>
      <c r="R146" s="20">
        <f t="shared" si="10"/>
        <v>3.1196820132286404E-2</v>
      </c>
    </row>
    <row r="147" spans="1:18" ht="17.399999999999999" x14ac:dyDescent="0.4">
      <c r="A147" s="12" t="s">
        <v>425</v>
      </c>
      <c r="B147" s="13">
        <v>200986122378</v>
      </c>
      <c r="C147" s="13">
        <v>204065263659</v>
      </c>
      <c r="D147" s="13">
        <v>3079141281</v>
      </c>
      <c r="E147" s="13">
        <v>7223621</v>
      </c>
      <c r="F147" s="13">
        <v>4420740</v>
      </c>
      <c r="G147" s="13">
        <v>46161</v>
      </c>
      <c r="H147" s="13">
        <v>28250</v>
      </c>
      <c r="I147" s="14" t="s">
        <v>95</v>
      </c>
      <c r="J147" s="14" t="s">
        <v>24</v>
      </c>
      <c r="K147" s="16" t="s">
        <v>161</v>
      </c>
      <c r="L147" s="16" t="s">
        <v>426</v>
      </c>
      <c r="M147" s="16" t="s">
        <v>422</v>
      </c>
      <c r="N147" s="16" t="s">
        <v>205</v>
      </c>
      <c r="O147" s="16" t="s">
        <v>422</v>
      </c>
      <c r="P147" s="20">
        <f t="shared" si="8"/>
        <v>2.8499327058356602E-3</v>
      </c>
      <c r="Q147" s="20">
        <f t="shared" si="9"/>
        <v>1.1433409633540578E-2</v>
      </c>
      <c r="R147" s="20">
        <f t="shared" si="10"/>
        <v>-2.7973394033711085E-3</v>
      </c>
    </row>
    <row r="148" spans="1:18" ht="17.399999999999999" x14ac:dyDescent="0.4">
      <c r="A148" s="12" t="s">
        <v>427</v>
      </c>
      <c r="B148" s="13">
        <v>190300552051</v>
      </c>
      <c r="C148" s="13">
        <v>193198586828</v>
      </c>
      <c r="D148" s="13">
        <v>2898034777</v>
      </c>
      <c r="E148" s="13">
        <v>7063095</v>
      </c>
      <c r="F148" s="13">
        <v>4385130</v>
      </c>
      <c r="G148" s="13">
        <v>44058</v>
      </c>
      <c r="H148" s="13">
        <v>27353</v>
      </c>
      <c r="I148" s="14" t="s">
        <v>95</v>
      </c>
      <c r="J148" s="14" t="s">
        <v>24</v>
      </c>
      <c r="K148" s="16" t="s">
        <v>37</v>
      </c>
      <c r="L148" s="16" t="s">
        <v>37</v>
      </c>
      <c r="M148" s="16" t="s">
        <v>90</v>
      </c>
      <c r="N148" s="16" t="s">
        <v>160</v>
      </c>
      <c r="O148" s="16" t="s">
        <v>428</v>
      </c>
      <c r="P148" s="20">
        <f t="shared" si="8"/>
        <v>4.3870923330526078E-2</v>
      </c>
      <c r="Q148" s="20">
        <f t="shared" si="9"/>
        <v>5.3774290341870042E-2</v>
      </c>
      <c r="R148" s="20">
        <f t="shared" si="10"/>
        <v>2.6871385420357302E-2</v>
      </c>
    </row>
    <row r="149" spans="1:18" ht="17.399999999999999" x14ac:dyDescent="0.4">
      <c r="A149" s="12" t="s">
        <v>429</v>
      </c>
      <c r="B149" s="13">
        <v>136016567883</v>
      </c>
      <c r="C149" s="13">
        <v>138372446856</v>
      </c>
      <c r="D149" s="13">
        <v>2355878972</v>
      </c>
      <c r="E149" s="13">
        <v>6193452</v>
      </c>
      <c r="F149" s="13">
        <v>3987837</v>
      </c>
      <c r="G149" s="13">
        <v>34699</v>
      </c>
      <c r="H149" s="13">
        <v>22342</v>
      </c>
      <c r="I149" s="14" t="s">
        <v>95</v>
      </c>
      <c r="J149" s="14" t="s">
        <v>24</v>
      </c>
      <c r="K149" s="16" t="s">
        <v>430</v>
      </c>
      <c r="L149" s="16" t="s">
        <v>431</v>
      </c>
      <c r="M149" s="16" t="s">
        <v>432</v>
      </c>
      <c r="N149" s="16" t="s">
        <v>63</v>
      </c>
      <c r="O149" s="16" t="s">
        <v>433</v>
      </c>
      <c r="P149" s="20">
        <f t="shared" si="8"/>
        <v>1.4013561187192901E-2</v>
      </c>
      <c r="Q149" s="20">
        <f t="shared" si="9"/>
        <v>3.2450899231944594E-2</v>
      </c>
      <c r="R149" s="20">
        <f t="shared" si="10"/>
        <v>1.2261865689088372E-2</v>
      </c>
    </row>
    <row r="150" spans="1:18" ht="17.399999999999999" x14ac:dyDescent="0.4">
      <c r="A150" s="12" t="s">
        <v>434</v>
      </c>
      <c r="B150" s="13">
        <v>172208827300</v>
      </c>
      <c r="C150" s="13">
        <v>175172516084</v>
      </c>
      <c r="D150" s="13">
        <v>2963688784</v>
      </c>
      <c r="E150" s="13">
        <v>4874385</v>
      </c>
      <c r="F150" s="13">
        <v>3605476</v>
      </c>
      <c r="G150" s="13">
        <v>48585</v>
      </c>
      <c r="H150" s="13">
        <v>35937</v>
      </c>
      <c r="I150" s="14" t="s">
        <v>23</v>
      </c>
      <c r="J150" s="14" t="s">
        <v>24</v>
      </c>
      <c r="K150" s="15" t="s">
        <v>435</v>
      </c>
      <c r="L150" s="15" t="s">
        <v>435</v>
      </c>
      <c r="M150" s="15" t="s">
        <v>436</v>
      </c>
      <c r="N150" s="16" t="s">
        <v>320</v>
      </c>
      <c r="O150" s="16" t="s">
        <v>437</v>
      </c>
      <c r="P150" s="20">
        <f t="shared" si="8"/>
        <v>-2.643581728550146E-2</v>
      </c>
      <c r="Q150" s="20">
        <f t="shared" si="9"/>
        <v>-2.0226680814703399E-2</v>
      </c>
      <c r="R150" s="20">
        <f t="shared" si="10"/>
        <v>-1.5825242373925567E-2</v>
      </c>
    </row>
    <row r="151" spans="1:18" ht="17.399999999999999" x14ac:dyDescent="0.4">
      <c r="A151" s="12" t="s">
        <v>438</v>
      </c>
      <c r="B151" s="13">
        <v>222377403373</v>
      </c>
      <c r="C151" s="13">
        <v>225292814538</v>
      </c>
      <c r="D151" s="13">
        <v>2915411164</v>
      </c>
      <c r="E151" s="13">
        <v>5206379</v>
      </c>
      <c r="F151" s="13">
        <v>3830016</v>
      </c>
      <c r="G151" s="13">
        <v>58823</v>
      </c>
      <c r="H151" s="13">
        <v>43272</v>
      </c>
      <c r="I151" s="14" t="s">
        <v>23</v>
      </c>
      <c r="J151" s="14" t="s">
        <v>24</v>
      </c>
      <c r="K151" s="15" t="s">
        <v>439</v>
      </c>
      <c r="L151" s="15" t="s">
        <v>440</v>
      </c>
      <c r="M151" s="16" t="s">
        <v>426</v>
      </c>
      <c r="N151" s="15" t="s">
        <v>325</v>
      </c>
      <c r="O151" s="15" t="s">
        <v>416</v>
      </c>
      <c r="P151" s="20">
        <f t="shared" si="8"/>
        <v>-3.0598982642121967E-2</v>
      </c>
      <c r="Q151" s="20">
        <f t="shared" si="9"/>
        <v>-2.0639378491751473E-2</v>
      </c>
      <c r="R151" s="20">
        <f t="shared" si="10"/>
        <v>-1.6008169924145593E-2</v>
      </c>
    </row>
    <row r="152" spans="1:18" ht="17.399999999999999" x14ac:dyDescent="0.4">
      <c r="A152" s="12" t="s">
        <v>441</v>
      </c>
      <c r="B152" s="13">
        <v>203999124284</v>
      </c>
      <c r="C152" s="13">
        <v>206663837233</v>
      </c>
      <c r="D152" s="13">
        <v>2664712949</v>
      </c>
      <c r="E152" s="13">
        <v>7301625</v>
      </c>
      <c r="F152" s="13">
        <v>4387747</v>
      </c>
      <c r="G152" s="13">
        <v>47100</v>
      </c>
      <c r="H152" s="13">
        <v>28304</v>
      </c>
      <c r="I152" s="14" t="s">
        <v>48</v>
      </c>
      <c r="J152" s="14" t="s">
        <v>24</v>
      </c>
      <c r="K152" s="16" t="s">
        <v>418</v>
      </c>
      <c r="L152" s="16" t="s">
        <v>418</v>
      </c>
      <c r="M152" s="16" t="s">
        <v>33</v>
      </c>
      <c r="N152" s="15" t="s">
        <v>442</v>
      </c>
      <c r="O152" s="15" t="s">
        <v>443</v>
      </c>
      <c r="P152" s="20">
        <f t="shared" si="8"/>
        <v>-3.0687496466921833E-2</v>
      </c>
      <c r="Q152" s="20">
        <f t="shared" si="9"/>
        <v>-2.459073989567314E-2</v>
      </c>
      <c r="R152" s="20">
        <f t="shared" si="10"/>
        <v>-4.7181978106071609E-2</v>
      </c>
    </row>
    <row r="153" spans="1:18" ht="17.399999999999999" x14ac:dyDescent="0.4">
      <c r="A153" s="12" t="s">
        <v>444</v>
      </c>
      <c r="B153" s="13">
        <v>203049748643</v>
      </c>
      <c r="C153" s="13">
        <v>206309855282</v>
      </c>
      <c r="D153" s="13">
        <v>3260106638</v>
      </c>
      <c r="E153" s="13">
        <v>7437953</v>
      </c>
      <c r="F153" s="13">
        <v>4595814</v>
      </c>
      <c r="G153" s="13">
        <v>44891</v>
      </c>
      <c r="H153" s="13">
        <v>27737</v>
      </c>
      <c r="I153" s="14" t="s">
        <v>95</v>
      </c>
      <c r="J153" s="14" t="s">
        <v>24</v>
      </c>
      <c r="K153" s="16" t="s">
        <v>232</v>
      </c>
      <c r="L153" s="16" t="s">
        <v>87</v>
      </c>
      <c r="M153" s="15" t="s">
        <v>445</v>
      </c>
      <c r="N153" s="15" t="s">
        <v>138</v>
      </c>
      <c r="O153" s="15" t="s">
        <v>84</v>
      </c>
      <c r="P153" s="20">
        <f t="shared" si="8"/>
        <v>-5.3798839527798761E-3</v>
      </c>
      <c r="Q153" s="20">
        <f t="shared" si="9"/>
        <v>-3.4070345923546951E-4</v>
      </c>
      <c r="R153" s="20">
        <f t="shared" si="10"/>
        <v>8.020403369240578E-3</v>
      </c>
    </row>
    <row r="154" spans="1:18" ht="17.399999999999999" x14ac:dyDescent="0.4">
      <c r="A154" s="12" t="s">
        <v>446</v>
      </c>
      <c r="B154" s="13">
        <v>199267667161</v>
      </c>
      <c r="C154" s="13">
        <v>202280160999</v>
      </c>
      <c r="D154" s="13">
        <v>3012493837</v>
      </c>
      <c r="E154" s="13">
        <v>7088373</v>
      </c>
      <c r="F154" s="13">
        <v>4392476</v>
      </c>
      <c r="G154" s="13">
        <v>46052</v>
      </c>
      <c r="H154" s="13">
        <v>28537</v>
      </c>
      <c r="I154" s="14" t="s">
        <v>95</v>
      </c>
      <c r="J154" s="14" t="s">
        <v>24</v>
      </c>
      <c r="K154" s="16" t="s">
        <v>86</v>
      </c>
      <c r="L154" s="16" t="s">
        <v>306</v>
      </c>
      <c r="M154" s="16" t="s">
        <v>391</v>
      </c>
      <c r="N154" s="16" t="s">
        <v>265</v>
      </c>
      <c r="O154" s="16" t="s">
        <v>447</v>
      </c>
      <c r="P154" s="20">
        <f t="shared" si="8"/>
        <v>-8.5501187677428543E-3</v>
      </c>
      <c r="Q154" s="20">
        <f t="shared" si="9"/>
        <v>-1.8723019936954056E-2</v>
      </c>
      <c r="R154" s="20">
        <f t="shared" si="10"/>
        <v>-6.3934997308142984E-3</v>
      </c>
    </row>
    <row r="155" spans="1:18" ht="17.399999999999999" x14ac:dyDescent="0.4">
      <c r="A155" s="12" t="s">
        <v>448</v>
      </c>
      <c r="B155" s="13">
        <v>189724044638</v>
      </c>
      <c r="C155" s="13">
        <v>192509102790</v>
      </c>
      <c r="D155" s="13">
        <v>2785058152</v>
      </c>
      <c r="E155" s="13">
        <v>7011556</v>
      </c>
      <c r="F155" s="13">
        <v>4333621</v>
      </c>
      <c r="G155" s="13">
        <v>44422</v>
      </c>
      <c r="H155" s="13">
        <v>27456</v>
      </c>
      <c r="I155" s="14" t="s">
        <v>95</v>
      </c>
      <c r="J155" s="14" t="s">
        <v>24</v>
      </c>
      <c r="K155" s="16" t="s">
        <v>155</v>
      </c>
      <c r="L155" s="16" t="s">
        <v>155</v>
      </c>
      <c r="M155" s="16" t="s">
        <v>449</v>
      </c>
      <c r="N155" s="16" t="s">
        <v>450</v>
      </c>
      <c r="O155" s="16" t="s">
        <v>210</v>
      </c>
      <c r="P155" s="20">
        <f t="shared" si="8"/>
        <v>-3.0294573861535498E-3</v>
      </c>
      <c r="Q155" s="20">
        <f t="shared" si="9"/>
        <v>-7.2969427708391293E-3</v>
      </c>
      <c r="R155" s="20">
        <f t="shared" si="10"/>
        <v>-1.1746288023388132E-2</v>
      </c>
    </row>
    <row r="156" spans="1:18" ht="17.399999999999999" x14ac:dyDescent="0.4">
      <c r="A156" s="12" t="s">
        <v>451</v>
      </c>
      <c r="B156" s="13">
        <v>146004848601</v>
      </c>
      <c r="C156" s="13">
        <v>148484274161</v>
      </c>
      <c r="D156" s="13">
        <v>2479425560</v>
      </c>
      <c r="E156" s="13">
        <v>6344192</v>
      </c>
      <c r="F156" s="13">
        <v>4072962</v>
      </c>
      <c r="G156" s="13">
        <v>36456</v>
      </c>
      <c r="H156" s="13">
        <v>23405</v>
      </c>
      <c r="I156" s="14" t="s">
        <v>95</v>
      </c>
      <c r="J156" s="14" t="s">
        <v>24</v>
      </c>
      <c r="K156" s="16" t="s">
        <v>376</v>
      </c>
      <c r="L156" s="16" t="s">
        <v>452</v>
      </c>
      <c r="M156" s="16" t="s">
        <v>247</v>
      </c>
      <c r="N156" s="16" t="s">
        <v>453</v>
      </c>
      <c r="O156" s="16" t="s">
        <v>261</v>
      </c>
      <c r="P156" s="20">
        <f t="shared" si="8"/>
        <v>7.3434294611755033E-2</v>
      </c>
      <c r="Q156" s="20">
        <f t="shared" si="9"/>
        <v>2.4338607936252674E-2</v>
      </c>
      <c r="R156" s="20">
        <f t="shared" si="10"/>
        <v>2.1346158330944821E-2</v>
      </c>
    </row>
    <row r="157" spans="1:18" ht="17.399999999999999" x14ac:dyDescent="0.4">
      <c r="A157" s="12" t="s">
        <v>454</v>
      </c>
      <c r="B157" s="13">
        <v>180675308365</v>
      </c>
      <c r="C157" s="13">
        <v>183633909509</v>
      </c>
      <c r="D157" s="13">
        <v>2958601144</v>
      </c>
      <c r="E157" s="13">
        <v>4900925</v>
      </c>
      <c r="F157" s="13">
        <v>3609377</v>
      </c>
      <c r="G157" s="13">
        <v>50877</v>
      </c>
      <c r="H157" s="13">
        <v>37469</v>
      </c>
      <c r="I157" s="14" t="s">
        <v>23</v>
      </c>
      <c r="J157" s="14" t="s">
        <v>24</v>
      </c>
      <c r="K157" s="15" t="s">
        <v>455</v>
      </c>
      <c r="L157" s="15" t="s">
        <v>455</v>
      </c>
      <c r="M157" s="15" t="s">
        <v>456</v>
      </c>
      <c r="N157" s="16" t="s">
        <v>457</v>
      </c>
      <c r="O157" s="16" t="s">
        <v>458</v>
      </c>
      <c r="P157" s="20">
        <f t="shared" si="8"/>
        <v>4.9164036465162084E-2</v>
      </c>
      <c r="Q157" s="20">
        <f t="shared" si="9"/>
        <v>5.4447894452325785E-3</v>
      </c>
      <c r="R157" s="20">
        <f t="shared" si="10"/>
        <v>1.0819653216385299E-3</v>
      </c>
    </row>
    <row r="158" spans="1:18" ht="17.399999999999999" x14ac:dyDescent="0.4">
      <c r="A158" s="12" t="s">
        <v>459</v>
      </c>
      <c r="B158" s="13">
        <v>224104092299</v>
      </c>
      <c r="C158" s="13">
        <v>227192536421</v>
      </c>
      <c r="D158" s="13">
        <v>3088444122</v>
      </c>
      <c r="E158" s="13">
        <v>5274872</v>
      </c>
      <c r="F158" s="13">
        <v>3919061</v>
      </c>
      <c r="G158" s="13">
        <v>57971</v>
      </c>
      <c r="H158" s="13">
        <v>43071</v>
      </c>
      <c r="I158" s="14" t="s">
        <v>460</v>
      </c>
      <c r="J158" s="14" t="s">
        <v>24</v>
      </c>
      <c r="K158" s="15" t="s">
        <v>461</v>
      </c>
      <c r="L158" s="15" t="s">
        <v>455</v>
      </c>
      <c r="M158" s="15" t="s">
        <v>39</v>
      </c>
      <c r="N158" s="15" t="s">
        <v>256</v>
      </c>
      <c r="O158" s="15" t="s">
        <v>462</v>
      </c>
      <c r="P158" s="20">
        <f t="shared" si="8"/>
        <v>7.7646779745142317E-3</v>
      </c>
      <c r="Q158" s="20">
        <f t="shared" si="9"/>
        <v>1.3155592399247155E-2</v>
      </c>
      <c r="R158" s="20">
        <f t="shared" si="10"/>
        <v>2.3249250133680902E-2</v>
      </c>
    </row>
    <row r="159" spans="1:18" ht="17.399999999999999" x14ac:dyDescent="0.4">
      <c r="A159" s="12" t="s">
        <v>463</v>
      </c>
      <c r="B159" s="13">
        <v>228335912961</v>
      </c>
      <c r="C159" s="13">
        <v>231251174032</v>
      </c>
      <c r="D159" s="13">
        <v>2915261072</v>
      </c>
      <c r="E159" s="13">
        <v>7886428</v>
      </c>
      <c r="F159" s="13">
        <v>4762862</v>
      </c>
      <c r="G159" s="13">
        <v>48553</v>
      </c>
      <c r="H159" s="13">
        <v>29323</v>
      </c>
      <c r="I159" s="14" t="s">
        <v>48</v>
      </c>
      <c r="J159" s="14" t="s">
        <v>24</v>
      </c>
      <c r="K159" s="15" t="s">
        <v>138</v>
      </c>
      <c r="L159" s="15" t="s">
        <v>378</v>
      </c>
      <c r="M159" s="16" t="s">
        <v>392</v>
      </c>
      <c r="N159" s="15" t="s">
        <v>464</v>
      </c>
      <c r="O159" s="15" t="s">
        <v>465</v>
      </c>
      <c r="P159" s="20">
        <f t="shared" si="8"/>
        <v>0.11929849582647829</v>
      </c>
      <c r="Q159" s="20">
        <f t="shared" si="9"/>
        <v>8.0092171263246192E-2</v>
      </c>
      <c r="R159" s="20">
        <f t="shared" si="10"/>
        <v>8.5491483442413613E-2</v>
      </c>
    </row>
    <row r="160" spans="1:18" ht="17.399999999999999" x14ac:dyDescent="0.4">
      <c r="A160" s="12" t="s">
        <v>466</v>
      </c>
      <c r="B160" s="13">
        <v>207226968636</v>
      </c>
      <c r="C160" s="13">
        <v>210878450219</v>
      </c>
      <c r="D160" s="13">
        <v>3651481583</v>
      </c>
      <c r="E160" s="13">
        <v>7595763</v>
      </c>
      <c r="F160" s="13">
        <v>4576382</v>
      </c>
      <c r="G160" s="13">
        <v>46080</v>
      </c>
      <c r="H160" s="13">
        <v>27763</v>
      </c>
      <c r="I160" s="14" t="s">
        <v>48</v>
      </c>
      <c r="J160" s="14" t="s">
        <v>24</v>
      </c>
      <c r="K160" s="16" t="s">
        <v>99</v>
      </c>
      <c r="L160" s="16" t="s">
        <v>165</v>
      </c>
      <c r="M160" s="15" t="s">
        <v>467</v>
      </c>
      <c r="N160" s="16" t="s">
        <v>241</v>
      </c>
      <c r="O160" s="16" t="s">
        <v>59</v>
      </c>
      <c r="P160" s="20">
        <f t="shared" si="8"/>
        <v>2.0572396769347131E-2</v>
      </c>
      <c r="Q160" s="20">
        <f t="shared" si="9"/>
        <v>2.121685899332787E-2</v>
      </c>
      <c r="R160" s="20">
        <f t="shared" si="10"/>
        <v>-4.2281954839773761E-3</v>
      </c>
    </row>
    <row r="161" spans="1:18" ht="17.399999999999999" x14ac:dyDescent="0.4">
      <c r="A161" s="12" t="s">
        <v>468</v>
      </c>
      <c r="B161" s="13">
        <v>251945125433</v>
      </c>
      <c r="C161" s="13">
        <v>256023039368</v>
      </c>
      <c r="D161" s="13">
        <v>4077913936</v>
      </c>
      <c r="E161" s="13">
        <v>7652038</v>
      </c>
      <c r="F161" s="13">
        <v>4560937</v>
      </c>
      <c r="G161" s="13">
        <v>56134</v>
      </c>
      <c r="H161" s="13">
        <v>33458</v>
      </c>
      <c r="I161" s="14" t="s">
        <v>48</v>
      </c>
      <c r="J161" s="14" t="s">
        <v>24</v>
      </c>
      <c r="K161" s="15" t="s">
        <v>469</v>
      </c>
      <c r="L161" s="15" t="s">
        <v>404</v>
      </c>
      <c r="M161" s="15" t="s">
        <v>470</v>
      </c>
      <c r="N161" s="15" t="s">
        <v>150</v>
      </c>
      <c r="O161" s="16" t="s">
        <v>238</v>
      </c>
      <c r="P161" s="20">
        <f t="shared" si="8"/>
        <v>0.26435527159275068</v>
      </c>
      <c r="Q161" s="20">
        <f t="shared" si="9"/>
        <v>7.9519658460411161E-2</v>
      </c>
      <c r="R161" s="20">
        <f t="shared" si="10"/>
        <v>3.8352173125134892E-2</v>
      </c>
    </row>
    <row r="162" spans="1:18" ht="17.399999999999999" x14ac:dyDescent="0.4">
      <c r="A162" s="12" t="s">
        <v>471</v>
      </c>
      <c r="B162" s="13">
        <v>200516285702</v>
      </c>
      <c r="C162" s="13">
        <v>204016267179</v>
      </c>
      <c r="D162" s="13">
        <v>3499981477</v>
      </c>
      <c r="E162" s="13">
        <v>7167787</v>
      </c>
      <c r="F162" s="13">
        <v>4295773</v>
      </c>
      <c r="G162" s="13">
        <v>47492</v>
      </c>
      <c r="H162" s="13">
        <v>28463</v>
      </c>
      <c r="I162" s="14" t="s">
        <v>48</v>
      </c>
      <c r="J162" s="14" t="s">
        <v>24</v>
      </c>
      <c r="K162" s="16" t="s">
        <v>472</v>
      </c>
      <c r="L162" s="16" t="s">
        <v>342</v>
      </c>
      <c r="M162" s="16" t="s">
        <v>107</v>
      </c>
      <c r="N162" s="16" t="s">
        <v>195</v>
      </c>
      <c r="O162" s="16" t="s">
        <v>89</v>
      </c>
      <c r="P162" s="20">
        <f t="shared" si="8"/>
        <v>5.6883886723962516E-2</v>
      </c>
      <c r="Q162" s="20">
        <f t="shared" si="9"/>
        <v>2.2281930002413158E-2</v>
      </c>
      <c r="R162" s="20">
        <f t="shared" si="10"/>
        <v>-8.7335740711981958E-3</v>
      </c>
    </row>
    <row r="163" spans="1:18" ht="17.399999999999999" x14ac:dyDescent="0.4">
      <c r="A163" s="12" t="s">
        <v>473</v>
      </c>
      <c r="B163" s="13">
        <v>169625236686</v>
      </c>
      <c r="C163" s="13">
        <v>172690025098</v>
      </c>
      <c r="D163" s="13">
        <v>3064788411</v>
      </c>
      <c r="E163" s="13">
        <v>6359986</v>
      </c>
      <c r="F163" s="13">
        <v>3925831</v>
      </c>
      <c r="G163" s="13">
        <v>43988</v>
      </c>
      <c r="H163" s="13">
        <v>27153</v>
      </c>
      <c r="I163" s="14" t="s">
        <v>95</v>
      </c>
      <c r="J163" s="14" t="s">
        <v>24</v>
      </c>
      <c r="K163" s="16" t="s">
        <v>374</v>
      </c>
      <c r="L163" s="16" t="s">
        <v>374</v>
      </c>
      <c r="M163" s="16" t="s">
        <v>397</v>
      </c>
      <c r="N163" s="16" t="s">
        <v>474</v>
      </c>
      <c r="O163" s="16" t="s">
        <v>33</v>
      </c>
      <c r="P163" s="20">
        <f t="shared" si="8"/>
        <v>0.1617781074486743</v>
      </c>
      <c r="Q163" s="20">
        <f t="shared" si="9"/>
        <v>2.4895211242030508E-3</v>
      </c>
      <c r="R163" s="20">
        <f t="shared" si="10"/>
        <v>-3.6123833220147894E-2</v>
      </c>
    </row>
    <row r="164" spans="1:18" ht="17.399999999999999" x14ac:dyDescent="0.4">
      <c r="A164" s="12" t="s">
        <v>475</v>
      </c>
      <c r="B164" s="13">
        <v>167217687964</v>
      </c>
      <c r="C164" s="13">
        <v>170234707126</v>
      </c>
      <c r="D164" s="13">
        <v>3017019162</v>
      </c>
      <c r="E164" s="13">
        <v>4747596</v>
      </c>
      <c r="F164" s="13">
        <v>3459209</v>
      </c>
      <c r="G164" s="13">
        <v>49212</v>
      </c>
      <c r="H164" s="13">
        <v>35857</v>
      </c>
      <c r="I164" s="14" t="s">
        <v>23</v>
      </c>
      <c r="J164" s="14" t="s">
        <v>24</v>
      </c>
      <c r="K164" s="16" t="s">
        <v>248</v>
      </c>
      <c r="L164" s="16" t="s">
        <v>248</v>
      </c>
      <c r="M164" s="16" t="s">
        <v>426</v>
      </c>
      <c r="N164" s="16" t="s">
        <v>476</v>
      </c>
      <c r="O164" s="16" t="s">
        <v>477</v>
      </c>
      <c r="P164" s="20">
        <f t="shared" si="8"/>
        <v>-7.4485111013691666E-2</v>
      </c>
      <c r="Q164" s="20">
        <f t="shared" si="9"/>
        <v>-3.1285726674046228E-2</v>
      </c>
      <c r="R164" s="20">
        <f t="shared" si="10"/>
        <v>-4.1604963959154168E-2</v>
      </c>
    </row>
    <row r="165" spans="1:18" ht="17.399999999999999" x14ac:dyDescent="0.4">
      <c r="A165" s="12" t="s">
        <v>478</v>
      </c>
      <c r="B165" s="13">
        <v>142285872493</v>
      </c>
      <c r="C165" s="13">
        <v>144508185957</v>
      </c>
      <c r="D165" s="13">
        <v>2222313465</v>
      </c>
      <c r="E165" s="13">
        <v>4916222</v>
      </c>
      <c r="F165" s="13">
        <v>3567196</v>
      </c>
      <c r="G165" s="13">
        <v>40510</v>
      </c>
      <c r="H165" s="13">
        <v>29394</v>
      </c>
      <c r="I165" s="14" t="s">
        <v>23</v>
      </c>
      <c r="J165" s="14" t="s">
        <v>24</v>
      </c>
      <c r="K165" s="16" t="s">
        <v>352</v>
      </c>
      <c r="L165" s="16" t="s">
        <v>479</v>
      </c>
      <c r="M165" s="16" t="s">
        <v>480</v>
      </c>
      <c r="N165" s="15" t="s">
        <v>481</v>
      </c>
      <c r="O165" s="15" t="s">
        <v>68</v>
      </c>
      <c r="P165" s="20">
        <f t="shared" si="8"/>
        <v>-0.36509025322410449</v>
      </c>
      <c r="Q165" s="20">
        <f t="shared" si="9"/>
        <v>-6.7992171184438219E-2</v>
      </c>
      <c r="R165" s="20">
        <f t="shared" si="10"/>
        <v>-8.9782986281662883E-2</v>
      </c>
    </row>
    <row r="166" spans="1:18" ht="17.399999999999999" x14ac:dyDescent="0.4">
      <c r="A166" s="12" t="s">
        <v>482</v>
      </c>
      <c r="B166" s="13">
        <v>191941168311</v>
      </c>
      <c r="C166" s="13">
        <v>194745751966</v>
      </c>
      <c r="D166" s="13">
        <v>2804583655</v>
      </c>
      <c r="E166" s="13">
        <v>7124469</v>
      </c>
      <c r="F166" s="13">
        <v>4178859</v>
      </c>
      <c r="G166" s="13">
        <v>46603</v>
      </c>
      <c r="H166" s="13">
        <v>27335</v>
      </c>
      <c r="I166" s="14" t="s">
        <v>48</v>
      </c>
      <c r="J166" s="14" t="s">
        <v>24</v>
      </c>
      <c r="K166" s="15" t="s">
        <v>483</v>
      </c>
      <c r="L166" s="15" t="s">
        <v>484</v>
      </c>
      <c r="M166" s="15" t="s">
        <v>304</v>
      </c>
      <c r="N166" s="15" t="s">
        <v>485</v>
      </c>
      <c r="O166" s="15" t="s">
        <v>252</v>
      </c>
      <c r="P166" s="20">
        <f t="shared" si="8"/>
        <v>-0.15939124151800096</v>
      </c>
      <c r="Q166" s="20">
        <f t="shared" si="9"/>
        <v>-9.6616491014690054E-2</v>
      </c>
      <c r="R166" s="20">
        <f t="shared" si="10"/>
        <v>-0.12261598173535156</v>
      </c>
    </row>
    <row r="167" spans="1:18" ht="17.399999999999999" x14ac:dyDescent="0.4">
      <c r="A167" s="12" t="s">
        <v>486</v>
      </c>
      <c r="B167" s="13">
        <v>184385176946</v>
      </c>
      <c r="C167" s="13">
        <v>187848020652</v>
      </c>
      <c r="D167" s="13">
        <v>3462843705</v>
      </c>
      <c r="E167" s="13">
        <v>6831810</v>
      </c>
      <c r="F167" s="13">
        <v>4070675</v>
      </c>
      <c r="G167" s="13">
        <v>46147</v>
      </c>
      <c r="H167" s="13">
        <v>27496</v>
      </c>
      <c r="I167" s="14" t="s">
        <v>48</v>
      </c>
      <c r="J167" s="14" t="s">
        <v>24</v>
      </c>
      <c r="K167" s="16" t="s">
        <v>59</v>
      </c>
      <c r="L167" s="16" t="s">
        <v>158</v>
      </c>
      <c r="M167" s="15" t="s">
        <v>387</v>
      </c>
      <c r="N167" s="16" t="s">
        <v>164</v>
      </c>
      <c r="O167" s="16" t="s">
        <v>206</v>
      </c>
      <c r="P167" s="20">
        <f t="shared" si="8"/>
        <v>-0.11022596064763293</v>
      </c>
      <c r="Q167" s="20">
        <f t="shared" si="9"/>
        <v>-0.10057620281201507</v>
      </c>
      <c r="R167" s="20">
        <f t="shared" si="10"/>
        <v>-0.11050366861857248</v>
      </c>
    </row>
    <row r="168" spans="1:18" ht="17.399999999999999" x14ac:dyDescent="0.4">
      <c r="A168" s="12" t="s">
        <v>487</v>
      </c>
      <c r="B168" s="13">
        <v>236420794548</v>
      </c>
      <c r="C168" s="13">
        <v>240148743619</v>
      </c>
      <c r="D168" s="13">
        <v>3727949071</v>
      </c>
      <c r="E168" s="13">
        <v>7004306</v>
      </c>
      <c r="F168" s="13">
        <v>4178205</v>
      </c>
      <c r="G168" s="13">
        <v>57477</v>
      </c>
      <c r="H168" s="13">
        <v>34286</v>
      </c>
      <c r="I168" s="14" t="s">
        <v>48</v>
      </c>
      <c r="J168" s="14" t="s">
        <v>24</v>
      </c>
      <c r="K168" s="15" t="s">
        <v>488</v>
      </c>
      <c r="L168" s="15" t="s">
        <v>489</v>
      </c>
      <c r="M168" s="15" t="s">
        <v>490</v>
      </c>
      <c r="N168" s="15" t="s">
        <v>491</v>
      </c>
      <c r="O168" s="15" t="s">
        <v>142</v>
      </c>
      <c r="P168" s="20">
        <f t="shared" si="8"/>
        <v>-6.1617905320928305E-2</v>
      </c>
      <c r="Q168" s="20">
        <f t="shared" si="9"/>
        <v>-8.464829892376384E-2</v>
      </c>
      <c r="R168" s="20">
        <f t="shared" si="10"/>
        <v>-8.3915213036268643E-2</v>
      </c>
    </row>
    <row r="169" spans="1:18" ht="17.399999999999999" x14ac:dyDescent="0.4">
      <c r="A169" s="12" t="s">
        <v>492</v>
      </c>
      <c r="B169" s="13">
        <v>192690487478</v>
      </c>
      <c r="C169" s="13">
        <v>195709349921</v>
      </c>
      <c r="D169" s="13">
        <v>3018862443</v>
      </c>
      <c r="E169" s="13">
        <v>6758170</v>
      </c>
      <c r="F169" s="13">
        <v>4072804</v>
      </c>
      <c r="G169" s="13">
        <v>48053</v>
      </c>
      <c r="H169" s="13">
        <v>28959</v>
      </c>
      <c r="I169" s="14" t="s">
        <v>48</v>
      </c>
      <c r="J169" s="14" t="s">
        <v>24</v>
      </c>
      <c r="K169" s="16" t="s">
        <v>493</v>
      </c>
      <c r="L169" s="16" t="s">
        <v>493</v>
      </c>
      <c r="M169" s="16" t="s">
        <v>134</v>
      </c>
      <c r="N169" s="16" t="s">
        <v>158</v>
      </c>
      <c r="O169" s="16" t="s">
        <v>213</v>
      </c>
      <c r="P169" s="20">
        <f t="shared" si="8"/>
        <v>-3.9028242502109858E-2</v>
      </c>
      <c r="Q169" s="20">
        <f t="shared" si="9"/>
        <v>-5.7146926938537658E-2</v>
      </c>
      <c r="R169" s="20">
        <f t="shared" si="10"/>
        <v>-5.1904278927215192E-2</v>
      </c>
    </row>
    <row r="170" spans="1:18" ht="17.399999999999999" x14ac:dyDescent="0.4">
      <c r="A170" s="12" t="s">
        <v>494</v>
      </c>
      <c r="B170" s="13">
        <v>165559227903</v>
      </c>
      <c r="C170" s="13">
        <v>168365117535</v>
      </c>
      <c r="D170" s="13">
        <v>2805889630</v>
      </c>
      <c r="E170" s="13">
        <v>6156715</v>
      </c>
      <c r="F170" s="13">
        <v>3793448</v>
      </c>
      <c r="G170" s="13">
        <v>44383</v>
      </c>
      <c r="H170" s="13">
        <v>27347</v>
      </c>
      <c r="I170" s="14" t="s">
        <v>95</v>
      </c>
      <c r="J170" s="14" t="s">
        <v>24</v>
      </c>
      <c r="K170" s="16" t="s">
        <v>25</v>
      </c>
      <c r="L170" s="16" t="s">
        <v>106</v>
      </c>
      <c r="M170" s="16" t="s">
        <v>495</v>
      </c>
      <c r="N170" s="16" t="s">
        <v>496</v>
      </c>
      <c r="O170" s="16" t="s">
        <v>127</v>
      </c>
      <c r="P170" s="20">
        <f t="shared" si="8"/>
        <v>-2.3970541544633184E-2</v>
      </c>
      <c r="Q170" s="20">
        <f t="shared" si="9"/>
        <v>-3.1960919410828889E-2</v>
      </c>
      <c r="R170" s="20">
        <f t="shared" si="10"/>
        <v>-3.3721013461863236E-2</v>
      </c>
    </row>
    <row r="171" spans="1:18" ht="17.399999999999999" x14ac:dyDescent="0.4">
      <c r="A171" s="12" t="s">
        <v>497</v>
      </c>
      <c r="B171" s="13">
        <v>164880897311</v>
      </c>
      <c r="C171" s="13">
        <v>167672110406</v>
      </c>
      <c r="D171" s="13">
        <v>2791213095</v>
      </c>
      <c r="E171" s="13">
        <v>4650882</v>
      </c>
      <c r="F171" s="13">
        <v>3387107</v>
      </c>
      <c r="G171" s="13">
        <v>49503</v>
      </c>
      <c r="H171" s="13">
        <v>36052</v>
      </c>
      <c r="I171" s="14" t="s">
        <v>23</v>
      </c>
      <c r="J171" s="14" t="s">
        <v>24</v>
      </c>
      <c r="K171" s="16" t="s">
        <v>267</v>
      </c>
      <c r="L171" s="16" t="s">
        <v>267</v>
      </c>
      <c r="M171" s="16" t="s">
        <v>232</v>
      </c>
      <c r="N171" s="16" t="s">
        <v>498</v>
      </c>
      <c r="O171" s="16" t="s">
        <v>499</v>
      </c>
      <c r="P171" s="20">
        <f t="shared" si="8"/>
        <v>-1.3974542295448335E-2</v>
      </c>
      <c r="Q171" s="20">
        <f t="shared" si="9"/>
        <v>-2.0371152052533537E-2</v>
      </c>
      <c r="R171" s="20">
        <f t="shared" si="10"/>
        <v>-2.0843493411355024E-2</v>
      </c>
    </row>
    <row r="172" spans="1:18" ht="17.399999999999999" x14ac:dyDescent="0.4">
      <c r="A172" s="12" t="s">
        <v>500</v>
      </c>
      <c r="B172" s="13">
        <v>144500405857</v>
      </c>
      <c r="C172" s="13">
        <v>146410534920</v>
      </c>
      <c r="D172" s="13">
        <v>1910129063</v>
      </c>
      <c r="E172" s="13">
        <v>4952240</v>
      </c>
      <c r="F172" s="13">
        <v>3576478</v>
      </c>
      <c r="G172" s="13">
        <v>40937</v>
      </c>
      <c r="H172" s="13">
        <v>29565</v>
      </c>
      <c r="I172" s="14" t="s">
        <v>23</v>
      </c>
      <c r="J172" s="14" t="s">
        <v>24</v>
      </c>
      <c r="K172" s="16" t="s">
        <v>397</v>
      </c>
      <c r="L172" s="16" t="s">
        <v>315</v>
      </c>
      <c r="M172" s="16" t="s">
        <v>501</v>
      </c>
      <c r="N172" s="15" t="s">
        <v>74</v>
      </c>
      <c r="O172" s="15" t="s">
        <v>502</v>
      </c>
      <c r="P172" s="20">
        <f t="shared" si="8"/>
        <v>1.5563972200465284E-2</v>
      </c>
      <c r="Q172" s="20">
        <f t="shared" si="9"/>
        <v>7.3263575159950058E-3</v>
      </c>
      <c r="R172" s="20">
        <f t="shared" si="10"/>
        <v>2.6020437340701212E-3</v>
      </c>
    </row>
    <row r="173" spans="1:18" ht="17.399999999999999" x14ac:dyDescent="0.4">
      <c r="A173" s="12" t="s">
        <v>297</v>
      </c>
      <c r="B173" s="13">
        <v>194684257287</v>
      </c>
      <c r="C173" s="13">
        <v>197185082083</v>
      </c>
      <c r="D173" s="13">
        <v>2500824798</v>
      </c>
      <c r="E173" s="13">
        <v>7070570</v>
      </c>
      <c r="F173" s="13">
        <v>4157324</v>
      </c>
      <c r="G173" s="13">
        <v>47431</v>
      </c>
      <c r="H173" s="13">
        <v>27888</v>
      </c>
      <c r="I173" s="14" t="s">
        <v>48</v>
      </c>
      <c r="J173" s="14" t="s">
        <v>24</v>
      </c>
      <c r="K173" s="15" t="s">
        <v>298</v>
      </c>
      <c r="L173" s="15" t="s">
        <v>298</v>
      </c>
      <c r="M173" s="15" t="s">
        <v>299</v>
      </c>
      <c r="N173" s="15" t="s">
        <v>300</v>
      </c>
      <c r="O173" s="15" t="s">
        <v>301</v>
      </c>
      <c r="P173" s="20">
        <f t="shared" si="8"/>
        <v>1.4291300819610546E-2</v>
      </c>
      <c r="Q173" s="20">
        <f t="shared" si="9"/>
        <v>-7.565335746425453E-3</v>
      </c>
      <c r="R173" s="20">
        <f t="shared" si="10"/>
        <v>-5.1533205595115797E-3</v>
      </c>
    </row>
    <row r="174" spans="1:18" ht="17.399999999999999" x14ac:dyDescent="0.4">
      <c r="A174" s="12" t="s">
        <v>302</v>
      </c>
      <c r="B174" s="13">
        <v>185751604209</v>
      </c>
      <c r="C174" s="13">
        <v>188907787323</v>
      </c>
      <c r="D174" s="13">
        <v>3156183114</v>
      </c>
      <c r="E174" s="13">
        <v>6803732</v>
      </c>
      <c r="F174" s="13">
        <v>4074019</v>
      </c>
      <c r="G174" s="13">
        <v>46369</v>
      </c>
      <c r="H174" s="13">
        <v>27765</v>
      </c>
      <c r="I174" s="14" t="s">
        <v>48</v>
      </c>
      <c r="J174" s="14" t="s">
        <v>24</v>
      </c>
      <c r="K174" s="16" t="s">
        <v>240</v>
      </c>
      <c r="L174" s="16" t="s">
        <v>303</v>
      </c>
      <c r="M174" s="15" t="s">
        <v>304</v>
      </c>
      <c r="N174" s="16" t="s">
        <v>305</v>
      </c>
      <c r="O174" s="16" t="s">
        <v>306</v>
      </c>
      <c r="P174" s="20">
        <f t="shared" si="8"/>
        <v>7.4107218683863016E-3</v>
      </c>
      <c r="Q174" s="20">
        <f t="shared" si="9"/>
        <v>-4.1098918149070308E-3</v>
      </c>
      <c r="R174" s="20">
        <f t="shared" si="10"/>
        <v>8.2148538018878936E-4</v>
      </c>
    </row>
    <row r="175" spans="1:18" ht="17.399999999999999" x14ac:dyDescent="0.4">
      <c r="A175" s="12" t="s">
        <v>307</v>
      </c>
      <c r="B175" s="13">
        <v>220216175890</v>
      </c>
      <c r="C175" s="13">
        <v>223758163849</v>
      </c>
      <c r="D175" s="13">
        <v>3541987959</v>
      </c>
      <c r="E175" s="13">
        <v>6612053</v>
      </c>
      <c r="F175" s="13">
        <v>3958595</v>
      </c>
      <c r="G175" s="13">
        <v>56525</v>
      </c>
      <c r="H175" s="13">
        <v>33841</v>
      </c>
      <c r="I175" s="14" t="s">
        <v>48</v>
      </c>
      <c r="J175" s="14" t="s">
        <v>24</v>
      </c>
      <c r="K175" s="15" t="s">
        <v>308</v>
      </c>
      <c r="L175" s="15" t="s">
        <v>309</v>
      </c>
      <c r="M175" s="15" t="s">
        <v>310</v>
      </c>
      <c r="N175" s="16" t="s">
        <v>250</v>
      </c>
      <c r="O175" s="16" t="s">
        <v>250</v>
      </c>
      <c r="P175" s="20">
        <f t="shared" si="8"/>
        <v>-6.8541427115075576E-2</v>
      </c>
      <c r="Q175" s="20">
        <f t="shared" si="9"/>
        <v>-5.6001693815204534E-2</v>
      </c>
      <c r="R175" s="20">
        <f t="shared" si="10"/>
        <v>-5.2560848498338399E-2</v>
      </c>
    </row>
    <row r="176" spans="1:18" ht="17.399999999999999" x14ac:dyDescent="0.4">
      <c r="A176" s="12" t="s">
        <v>311</v>
      </c>
      <c r="B176" s="13">
        <v>184084912037</v>
      </c>
      <c r="C176" s="13">
        <v>186998767601</v>
      </c>
      <c r="D176" s="13">
        <v>2913855563</v>
      </c>
      <c r="E176" s="13">
        <v>6367573</v>
      </c>
      <c r="F176" s="13">
        <v>3858147</v>
      </c>
      <c r="G176" s="13">
        <v>48469</v>
      </c>
      <c r="H176" s="13">
        <v>29367</v>
      </c>
      <c r="I176" s="14" t="s">
        <v>48</v>
      </c>
      <c r="J176" s="14" t="s">
        <v>24</v>
      </c>
      <c r="K176" s="16" t="s">
        <v>312</v>
      </c>
      <c r="L176" s="16" t="s">
        <v>312</v>
      </c>
      <c r="M176" s="16" t="s">
        <v>313</v>
      </c>
      <c r="N176" s="16" t="s">
        <v>241</v>
      </c>
      <c r="O176" s="16" t="s">
        <v>213</v>
      </c>
      <c r="P176" s="20">
        <f t="shared" si="8"/>
        <v>-4.4660094816473608E-2</v>
      </c>
      <c r="Q176" s="20">
        <f t="shared" si="9"/>
        <v>-5.7796267332724686E-2</v>
      </c>
      <c r="R176" s="20">
        <f t="shared" si="10"/>
        <v>-5.270496689749863E-2</v>
      </c>
    </row>
    <row r="177" spans="1:18" ht="17.399999999999999" x14ac:dyDescent="0.4">
      <c r="A177" s="12" t="s">
        <v>314</v>
      </c>
      <c r="B177" s="13">
        <v>160582499223</v>
      </c>
      <c r="C177" s="13">
        <v>163286486638</v>
      </c>
      <c r="D177" s="13">
        <v>2703987415</v>
      </c>
      <c r="E177" s="13">
        <v>5875570</v>
      </c>
      <c r="F177" s="13">
        <v>3621115</v>
      </c>
      <c r="G177" s="13">
        <v>45093</v>
      </c>
      <c r="H177" s="13">
        <v>27791</v>
      </c>
      <c r="I177" s="14" t="s">
        <v>95</v>
      </c>
      <c r="J177" s="14" t="s">
        <v>24</v>
      </c>
      <c r="K177" s="16" t="s">
        <v>190</v>
      </c>
      <c r="L177" s="16" t="s">
        <v>315</v>
      </c>
      <c r="M177" s="16" t="s">
        <v>266</v>
      </c>
      <c r="N177" s="16" t="s">
        <v>316</v>
      </c>
      <c r="O177" s="16" t="s">
        <v>317</v>
      </c>
      <c r="P177" s="20">
        <f t="shared" si="8"/>
        <v>-3.0060110469443787E-2</v>
      </c>
      <c r="Q177" s="20">
        <f t="shared" si="9"/>
        <v>-4.5664774153099504E-2</v>
      </c>
      <c r="R177" s="20">
        <f t="shared" si="10"/>
        <v>-4.5429118838586954E-2</v>
      </c>
    </row>
    <row r="178" spans="1:18" ht="17.399999999999999" x14ac:dyDescent="0.4">
      <c r="A178" s="12" t="s">
        <v>318</v>
      </c>
      <c r="B178" s="13">
        <v>163728290464</v>
      </c>
      <c r="C178" s="13">
        <v>166444865828</v>
      </c>
      <c r="D178" s="13">
        <v>2716575364</v>
      </c>
      <c r="E178" s="13">
        <v>4623100</v>
      </c>
      <c r="F178" s="13">
        <v>3380052</v>
      </c>
      <c r="G178" s="13">
        <v>49243</v>
      </c>
      <c r="H178" s="13">
        <v>36003</v>
      </c>
      <c r="I178" s="14" t="s">
        <v>23</v>
      </c>
      <c r="J178" s="14" t="s">
        <v>24</v>
      </c>
      <c r="K178" s="15" t="s">
        <v>319</v>
      </c>
      <c r="L178" s="15" t="s">
        <v>138</v>
      </c>
      <c r="M178" s="15" t="s">
        <v>78</v>
      </c>
      <c r="N178" s="16" t="s">
        <v>320</v>
      </c>
      <c r="O178" s="16" t="s">
        <v>65</v>
      </c>
      <c r="P178" s="20">
        <f t="shared" si="8"/>
        <v>-6.9905420567061899E-3</v>
      </c>
      <c r="Q178" s="20">
        <f t="shared" si="9"/>
        <v>-5.9734906196287066E-3</v>
      </c>
      <c r="R178" s="20">
        <f t="shared" si="10"/>
        <v>-2.0828984735350845E-3</v>
      </c>
    </row>
    <row r="179" spans="1:18" ht="17.399999999999999" x14ac:dyDescent="0.4">
      <c r="A179" s="12" t="s">
        <v>321</v>
      </c>
      <c r="B179" s="13">
        <v>144944691040</v>
      </c>
      <c r="C179" s="13">
        <v>146870277421</v>
      </c>
      <c r="D179" s="13">
        <v>1925586382</v>
      </c>
      <c r="E179" s="13">
        <v>4938549</v>
      </c>
      <c r="F179" s="13">
        <v>3562975</v>
      </c>
      <c r="G179" s="13">
        <v>41221</v>
      </c>
      <c r="H179" s="13">
        <v>29740</v>
      </c>
      <c r="I179" s="14" t="s">
        <v>23</v>
      </c>
      <c r="J179" s="14" t="s">
        <v>24</v>
      </c>
      <c r="K179" s="16" t="s">
        <v>322</v>
      </c>
      <c r="L179" s="16" t="s">
        <v>323</v>
      </c>
      <c r="M179" s="16" t="s">
        <v>324</v>
      </c>
      <c r="N179" s="15" t="s">
        <v>325</v>
      </c>
      <c r="O179" s="15" t="s">
        <v>253</v>
      </c>
      <c r="P179" s="20">
        <f t="shared" si="8"/>
        <v>3.0746293089285301E-3</v>
      </c>
      <c r="Q179" s="20">
        <f t="shared" si="9"/>
        <v>-2.7646075311374245E-3</v>
      </c>
      <c r="R179" s="20">
        <f t="shared" si="10"/>
        <v>-3.7755020441898428E-3</v>
      </c>
    </row>
    <row r="180" spans="1:18" ht="17.399999999999999" x14ac:dyDescent="0.4">
      <c r="A180" s="12" t="s">
        <v>326</v>
      </c>
      <c r="B180" s="13">
        <v>197294034246</v>
      </c>
      <c r="C180" s="13">
        <v>199739905685</v>
      </c>
      <c r="D180" s="13">
        <v>2445871439</v>
      </c>
      <c r="E180" s="13">
        <v>7021664</v>
      </c>
      <c r="F180" s="13">
        <v>4195718</v>
      </c>
      <c r="G180" s="13">
        <v>47606</v>
      </c>
      <c r="H180" s="13">
        <v>28446</v>
      </c>
      <c r="I180" s="14" t="s">
        <v>48</v>
      </c>
      <c r="J180" s="14" t="s">
        <v>24</v>
      </c>
      <c r="K180" s="15" t="s">
        <v>327</v>
      </c>
      <c r="L180" s="15" t="s">
        <v>328</v>
      </c>
      <c r="M180" s="15" t="s">
        <v>329</v>
      </c>
      <c r="N180" s="15" t="s">
        <v>330</v>
      </c>
      <c r="O180" s="15" t="s">
        <v>331</v>
      </c>
      <c r="P180" s="20">
        <f t="shared" si="8"/>
        <v>1.3405177158997063E-2</v>
      </c>
      <c r="Q180" s="20">
        <f t="shared" si="9"/>
        <v>-6.916839802165879E-3</v>
      </c>
      <c r="R180" s="20">
        <f t="shared" si="10"/>
        <v>9.2352676866176413E-3</v>
      </c>
    </row>
    <row r="181" spans="1:18" ht="17.399999999999999" x14ac:dyDescent="0.4">
      <c r="A181" s="12" t="s">
        <v>332</v>
      </c>
      <c r="B181" s="13">
        <v>189433846427</v>
      </c>
      <c r="C181" s="13">
        <v>192556878463</v>
      </c>
      <c r="D181" s="13">
        <v>3123032036</v>
      </c>
      <c r="E181" s="13">
        <v>6896032</v>
      </c>
      <c r="F181" s="13">
        <v>4140957</v>
      </c>
      <c r="G181" s="13">
        <v>46501</v>
      </c>
      <c r="H181" s="13">
        <v>27923</v>
      </c>
      <c r="I181" s="14" t="s">
        <v>48</v>
      </c>
      <c r="J181" s="14" t="s">
        <v>24</v>
      </c>
      <c r="K181" s="16" t="s">
        <v>333</v>
      </c>
      <c r="L181" s="16" t="s">
        <v>157</v>
      </c>
      <c r="M181" s="15" t="s">
        <v>334</v>
      </c>
      <c r="N181" s="16" t="s">
        <v>93</v>
      </c>
      <c r="O181" s="16" t="s">
        <v>210</v>
      </c>
      <c r="P181" s="20">
        <f t="shared" si="8"/>
        <v>1.9823474654124085E-2</v>
      </c>
      <c r="Q181" s="20">
        <f t="shared" si="9"/>
        <v>1.3566084025649452E-2</v>
      </c>
      <c r="R181" s="20">
        <f t="shared" si="10"/>
        <v>1.6430458473561366E-2</v>
      </c>
    </row>
    <row r="182" spans="1:18" ht="17.399999999999999" x14ac:dyDescent="0.4">
      <c r="A182" s="12" t="s">
        <v>335</v>
      </c>
      <c r="B182" s="13">
        <v>207060694983</v>
      </c>
      <c r="C182" s="13">
        <v>210818913624</v>
      </c>
      <c r="D182" s="13">
        <v>3758218641</v>
      </c>
      <c r="E182" s="13">
        <v>6092922</v>
      </c>
      <c r="F182" s="13">
        <v>3701841</v>
      </c>
      <c r="G182" s="13">
        <v>56950</v>
      </c>
      <c r="H182" s="13">
        <v>34601</v>
      </c>
      <c r="I182" s="14" t="s">
        <v>95</v>
      </c>
      <c r="J182" s="14" t="s">
        <v>24</v>
      </c>
      <c r="K182" s="15" t="s">
        <v>336</v>
      </c>
      <c r="L182" s="15" t="s">
        <v>337</v>
      </c>
      <c r="M182" s="15" t="s">
        <v>257</v>
      </c>
      <c r="N182" s="16" t="s">
        <v>91</v>
      </c>
      <c r="O182" s="16" t="s">
        <v>293</v>
      </c>
      <c r="P182" s="20">
        <f t="shared" si="8"/>
        <v>-5.9738939947677976E-2</v>
      </c>
      <c r="Q182" s="20">
        <f t="shared" si="9"/>
        <v>-7.8512831037500758E-2</v>
      </c>
      <c r="R182" s="20">
        <f t="shared" si="10"/>
        <v>-6.4859880841561204E-2</v>
      </c>
    </row>
    <row r="183" spans="1:18" ht="17.399999999999999" x14ac:dyDescent="0.4">
      <c r="A183" s="12" t="s">
        <v>338</v>
      </c>
      <c r="B183" s="13">
        <v>135321717986</v>
      </c>
      <c r="C183" s="13">
        <v>137633924344</v>
      </c>
      <c r="D183" s="13">
        <v>2312206358</v>
      </c>
      <c r="E183" s="13">
        <v>4856426</v>
      </c>
      <c r="F183" s="13">
        <v>3518525</v>
      </c>
      <c r="G183" s="13">
        <v>39117</v>
      </c>
      <c r="H183" s="13">
        <v>28341</v>
      </c>
      <c r="I183" s="14" t="s">
        <v>23</v>
      </c>
      <c r="J183" s="14" t="s">
        <v>24</v>
      </c>
      <c r="K183" s="16" t="s">
        <v>339</v>
      </c>
      <c r="L183" s="16" t="s">
        <v>340</v>
      </c>
      <c r="M183" s="16" t="s">
        <v>341</v>
      </c>
      <c r="N183" s="16" t="s">
        <v>342</v>
      </c>
      <c r="O183" s="16" t="s">
        <v>236</v>
      </c>
      <c r="P183" s="20">
        <f t="shared" si="8"/>
        <v>-0.26489511558230738</v>
      </c>
      <c r="Q183" s="20">
        <f t="shared" si="9"/>
        <v>-0.23731914812755189</v>
      </c>
      <c r="R183" s="20">
        <f t="shared" si="10"/>
        <v>-8.8027231725488944E-2</v>
      </c>
    </row>
    <row r="184" spans="1:18" ht="17.399999999999999" x14ac:dyDescent="0.4">
      <c r="A184" s="12" t="s">
        <v>343</v>
      </c>
      <c r="B184" s="13">
        <v>162026205732</v>
      </c>
      <c r="C184" s="13">
        <v>164449305489</v>
      </c>
      <c r="D184" s="13">
        <v>2423099757</v>
      </c>
      <c r="E184" s="13">
        <v>5977334</v>
      </c>
      <c r="F184" s="13">
        <v>3763397</v>
      </c>
      <c r="G184" s="13">
        <v>43697</v>
      </c>
      <c r="H184" s="13">
        <v>27512</v>
      </c>
      <c r="I184" s="14" t="s">
        <v>95</v>
      </c>
      <c r="J184" s="14" t="s">
        <v>24</v>
      </c>
      <c r="K184" s="15" t="s">
        <v>344</v>
      </c>
      <c r="L184" s="15" t="s">
        <v>280</v>
      </c>
      <c r="M184" s="15" t="s">
        <v>345</v>
      </c>
      <c r="N184" s="15" t="s">
        <v>346</v>
      </c>
      <c r="O184" s="15" t="s">
        <v>347</v>
      </c>
      <c r="P184" s="20">
        <f t="shared" si="8"/>
        <v>8.990434922769094E-3</v>
      </c>
      <c r="Q184" s="20">
        <f t="shared" si="9"/>
        <v>1.7319851520788621E-2</v>
      </c>
      <c r="R184" s="20">
        <f t="shared" si="10"/>
        <v>3.9292317421567663E-2</v>
      </c>
    </row>
    <row r="185" spans="1:18" ht="17.399999999999999" x14ac:dyDescent="0.4">
      <c r="A185" s="12" t="s">
        <v>348</v>
      </c>
      <c r="B185" s="13">
        <v>161963837087</v>
      </c>
      <c r="C185" s="13">
        <v>164884651167</v>
      </c>
      <c r="D185" s="13">
        <v>2920814079</v>
      </c>
      <c r="E185" s="13">
        <v>4574664</v>
      </c>
      <c r="F185" s="13">
        <v>3342787</v>
      </c>
      <c r="G185" s="13">
        <v>49326</v>
      </c>
      <c r="H185" s="13">
        <v>36043</v>
      </c>
      <c r="I185" s="14" t="s">
        <v>23</v>
      </c>
      <c r="J185" s="14" t="s">
        <v>24</v>
      </c>
      <c r="K185" s="13" t="s">
        <v>349</v>
      </c>
      <c r="L185" s="15" t="s">
        <v>61</v>
      </c>
      <c r="M185" s="15" t="s">
        <v>46</v>
      </c>
      <c r="N185" s="16" t="s">
        <v>204</v>
      </c>
      <c r="O185" s="16" t="s">
        <v>350</v>
      </c>
      <c r="P185" s="20">
        <f t="shared" si="8"/>
        <v>-1.0776716546661567E-2</v>
      </c>
      <c r="Q185" s="20">
        <f t="shared" si="9"/>
        <v>-1.0476952694079731E-2</v>
      </c>
      <c r="R185" s="20">
        <f t="shared" si="10"/>
        <v>-1.1024978313943098E-2</v>
      </c>
    </row>
    <row r="186" spans="1:18" ht="17.399999999999999" x14ac:dyDescent="0.4">
      <c r="A186" s="12" t="s">
        <v>351</v>
      </c>
      <c r="B186" s="13">
        <v>138388941268</v>
      </c>
      <c r="C186" s="13">
        <v>140291448522</v>
      </c>
      <c r="D186" s="13">
        <v>1902507252</v>
      </c>
      <c r="E186" s="13">
        <v>4746284</v>
      </c>
      <c r="F186" s="13">
        <v>3437146</v>
      </c>
      <c r="G186" s="13">
        <v>40816</v>
      </c>
      <c r="H186" s="13">
        <v>29558</v>
      </c>
      <c r="I186" s="14" t="s">
        <v>23</v>
      </c>
      <c r="J186" s="14" t="s">
        <v>24</v>
      </c>
      <c r="K186" s="16" t="s">
        <v>26</v>
      </c>
      <c r="L186" s="16" t="s">
        <v>352</v>
      </c>
      <c r="M186" s="16" t="s">
        <v>353</v>
      </c>
      <c r="N186" s="15" t="s">
        <v>354</v>
      </c>
      <c r="O186" s="15" t="s">
        <v>141</v>
      </c>
      <c r="P186" s="20">
        <f t="shared" si="8"/>
        <v>-4.5229319714723645E-2</v>
      </c>
      <c r="Q186" s="20">
        <f t="shared" si="9"/>
        <v>-3.8931475621685641E-2</v>
      </c>
      <c r="R186" s="20">
        <f t="shared" si="10"/>
        <v>-3.5315712290992778E-2</v>
      </c>
    </row>
    <row r="187" spans="1:18" ht="17.399999999999999" x14ac:dyDescent="0.4">
      <c r="A187" s="12" t="s">
        <v>355</v>
      </c>
      <c r="B187" s="13">
        <v>174512242776</v>
      </c>
      <c r="C187" s="13">
        <v>177096209590</v>
      </c>
      <c r="D187" s="13">
        <v>2583966814</v>
      </c>
      <c r="E187" s="13">
        <v>6366298</v>
      </c>
      <c r="F187" s="13">
        <v>3853119</v>
      </c>
      <c r="G187" s="13">
        <v>45962</v>
      </c>
      <c r="H187" s="13">
        <v>27818</v>
      </c>
      <c r="I187" s="14" t="s">
        <v>48</v>
      </c>
      <c r="J187" s="14" t="s">
        <v>24</v>
      </c>
      <c r="K187" s="15" t="s">
        <v>356</v>
      </c>
      <c r="L187" s="15" t="s">
        <v>304</v>
      </c>
      <c r="M187" s="15" t="s">
        <v>42</v>
      </c>
      <c r="N187" s="15" t="s">
        <v>357</v>
      </c>
      <c r="O187" s="15" t="s">
        <v>358</v>
      </c>
      <c r="P187" s="20">
        <f t="shared" si="8"/>
        <v>-0.115471263776755</v>
      </c>
      <c r="Q187" s="20">
        <f t="shared" si="9"/>
        <v>-9.3334856239204844E-2</v>
      </c>
      <c r="R187" s="20">
        <f t="shared" si="10"/>
        <v>-8.1654439121027683E-2</v>
      </c>
    </row>
    <row r="188" spans="1:18" ht="17.399999999999999" x14ac:dyDescent="0.4">
      <c r="A188" s="12" t="s">
        <v>359</v>
      </c>
      <c r="B188" s="13">
        <v>165079881653</v>
      </c>
      <c r="C188" s="13">
        <v>168038717758</v>
      </c>
      <c r="D188" s="13">
        <v>2958836106</v>
      </c>
      <c r="E188" s="13">
        <v>5858704</v>
      </c>
      <c r="F188" s="13">
        <v>3610622</v>
      </c>
      <c r="G188" s="13">
        <v>46540</v>
      </c>
      <c r="H188" s="13">
        <v>28682</v>
      </c>
      <c r="I188" s="14" t="s">
        <v>95</v>
      </c>
      <c r="J188" s="14" t="s">
        <v>24</v>
      </c>
      <c r="K188" s="16" t="s">
        <v>269</v>
      </c>
      <c r="L188" s="16" t="s">
        <v>122</v>
      </c>
      <c r="M188" s="15" t="s">
        <v>360</v>
      </c>
      <c r="N188" s="16" t="s">
        <v>56</v>
      </c>
      <c r="O188" s="16" t="s">
        <v>195</v>
      </c>
      <c r="P188" s="20">
        <f t="shared" si="8"/>
        <v>-0.12856184485165387</v>
      </c>
      <c r="Q188" s="20">
        <f t="shared" si="9"/>
        <v>-0.15042389594479841</v>
      </c>
      <c r="R188" s="20">
        <f t="shared" si="10"/>
        <v>-0.12807063681173217</v>
      </c>
    </row>
    <row r="189" spans="1:18" ht="17.399999999999999" x14ac:dyDescent="0.4">
      <c r="A189" s="12" t="s">
        <v>361</v>
      </c>
      <c r="B189" s="13">
        <v>180745434247</v>
      </c>
      <c r="C189" s="13">
        <v>183908157973</v>
      </c>
      <c r="D189" s="13">
        <v>3162723726</v>
      </c>
      <c r="E189" s="13">
        <v>5318327</v>
      </c>
      <c r="F189" s="13">
        <v>3416569</v>
      </c>
      <c r="G189" s="13">
        <v>53828</v>
      </c>
      <c r="H189" s="13">
        <v>34580</v>
      </c>
      <c r="I189" s="14" t="s">
        <v>95</v>
      </c>
      <c r="J189" s="14" t="s">
        <v>24</v>
      </c>
      <c r="K189" s="15" t="s">
        <v>337</v>
      </c>
      <c r="L189" s="15" t="s">
        <v>36</v>
      </c>
      <c r="M189" s="15" t="s">
        <v>362</v>
      </c>
      <c r="N189" s="16" t="s">
        <v>99</v>
      </c>
      <c r="O189" s="16" t="s">
        <v>269</v>
      </c>
      <c r="P189" s="20">
        <f t="shared" si="8"/>
        <v>-0.12708959920259383</v>
      </c>
      <c r="Q189" s="20">
        <f t="shared" si="9"/>
        <v>-0.12713029971498077</v>
      </c>
      <c r="R189" s="20">
        <f t="shared" si="10"/>
        <v>-7.7062196890682236E-2</v>
      </c>
    </row>
    <row r="190" spans="1:18" ht="17.399999999999999" x14ac:dyDescent="0.4">
      <c r="A190" s="12" t="s">
        <v>363</v>
      </c>
      <c r="B190" s="13">
        <v>161771767535</v>
      </c>
      <c r="C190" s="13">
        <v>164043451493</v>
      </c>
      <c r="D190" s="13">
        <v>2271683958</v>
      </c>
      <c r="E190" s="13">
        <v>4823526</v>
      </c>
      <c r="F190" s="13">
        <v>3414300</v>
      </c>
      <c r="G190" s="13">
        <v>48046</v>
      </c>
      <c r="H190" s="13">
        <v>34009</v>
      </c>
      <c r="I190" s="14" t="s">
        <v>23</v>
      </c>
      <c r="J190" s="14" t="s">
        <v>24</v>
      </c>
      <c r="K190" s="16" t="s">
        <v>243</v>
      </c>
      <c r="L190" s="16" t="s">
        <v>364</v>
      </c>
      <c r="M190" s="16" t="s">
        <v>365</v>
      </c>
      <c r="N190" s="16" t="s">
        <v>366</v>
      </c>
      <c r="O190" s="16" t="s">
        <v>81</v>
      </c>
      <c r="P190" s="20">
        <f t="shared" si="8"/>
        <v>0.19546049180174055</v>
      </c>
      <c r="Q190" s="20">
        <f t="shared" si="9"/>
        <v>-6.7745292525820426E-3</v>
      </c>
      <c r="R190" s="20">
        <f t="shared" si="10"/>
        <v>-2.9621787538812429E-2</v>
      </c>
    </row>
    <row r="191" spans="1:18" ht="17.399999999999999" x14ac:dyDescent="0.4">
      <c r="A191" s="12" t="s">
        <v>367</v>
      </c>
      <c r="B191" s="13">
        <v>189573187139</v>
      </c>
      <c r="C191" s="13">
        <v>192212627314</v>
      </c>
      <c r="D191" s="13">
        <v>2639440174</v>
      </c>
      <c r="E191" s="13">
        <v>5544079</v>
      </c>
      <c r="F191" s="13">
        <v>3617446</v>
      </c>
      <c r="G191" s="13">
        <v>53135</v>
      </c>
      <c r="H191" s="13">
        <v>34670</v>
      </c>
      <c r="I191" s="14" t="s">
        <v>41</v>
      </c>
      <c r="J191" s="14" t="s">
        <v>24</v>
      </c>
      <c r="K191" s="15" t="s">
        <v>151</v>
      </c>
      <c r="L191" s="15" t="s">
        <v>151</v>
      </c>
      <c r="M191" s="15" t="s">
        <v>301</v>
      </c>
      <c r="N191" s="15" t="s">
        <v>368</v>
      </c>
      <c r="O191" s="15" t="s">
        <v>173</v>
      </c>
      <c r="P191" s="20">
        <f t="shared" si="8"/>
        <v>0.17001559274037545</v>
      </c>
      <c r="Q191" s="20">
        <f t="shared" si="9"/>
        <v>-7.24829832162633E-2</v>
      </c>
      <c r="R191" s="20">
        <f t="shared" si="10"/>
        <v>-3.8781717687504137E-2</v>
      </c>
    </row>
    <row r="192" spans="1:18" ht="17.399999999999999" x14ac:dyDescent="0.4">
      <c r="A192" s="12" t="s">
        <v>369</v>
      </c>
      <c r="B192" s="13">
        <v>212289071860</v>
      </c>
      <c r="C192" s="13">
        <v>215872478050</v>
      </c>
      <c r="D192" s="13">
        <v>3583406192</v>
      </c>
      <c r="E192" s="13">
        <v>4611447</v>
      </c>
      <c r="F192" s="13">
        <v>3313170</v>
      </c>
      <c r="G192" s="13">
        <v>65156</v>
      </c>
      <c r="H192" s="13">
        <v>46812</v>
      </c>
      <c r="I192" s="14" t="s">
        <v>23</v>
      </c>
      <c r="J192" s="14" t="s">
        <v>24</v>
      </c>
      <c r="K192" s="15" t="s">
        <v>121</v>
      </c>
      <c r="L192" s="15" t="s">
        <v>370</v>
      </c>
      <c r="M192" s="15" t="s">
        <v>42</v>
      </c>
      <c r="N192" s="16" t="s">
        <v>371</v>
      </c>
      <c r="O192" s="16" t="s">
        <v>372</v>
      </c>
      <c r="P192" s="20">
        <f t="shared" si="8"/>
        <v>0.3107189584917493</v>
      </c>
      <c r="Q192" s="20">
        <f t="shared" si="9"/>
        <v>8.0405905220580134E-3</v>
      </c>
      <c r="R192" s="20">
        <f t="shared" si="10"/>
        <v>-8.8599722327506961E-3</v>
      </c>
    </row>
    <row r="193" spans="1:18" ht="17.399999999999999" x14ac:dyDescent="0.4">
      <c r="A193" s="12" t="s">
        <v>373</v>
      </c>
      <c r="B193" s="13">
        <v>179504000350</v>
      </c>
      <c r="C193" s="13">
        <v>182264812625</v>
      </c>
      <c r="D193" s="13">
        <v>2760812275</v>
      </c>
      <c r="E193" s="13">
        <v>4670743</v>
      </c>
      <c r="F193" s="13">
        <v>3373791</v>
      </c>
      <c r="G193" s="13">
        <v>54024</v>
      </c>
      <c r="H193" s="13">
        <v>39023</v>
      </c>
      <c r="I193" s="14" t="s">
        <v>23</v>
      </c>
      <c r="J193" s="14" t="s">
        <v>24</v>
      </c>
      <c r="K193" s="16" t="s">
        <v>374</v>
      </c>
      <c r="L193" s="16" t="s">
        <v>375</v>
      </c>
      <c r="M193" s="16" t="s">
        <v>376</v>
      </c>
      <c r="N193" s="15" t="s">
        <v>377</v>
      </c>
      <c r="O193" s="15" t="s">
        <v>378</v>
      </c>
      <c r="P193" s="20">
        <f t="shared" si="8"/>
        <v>0.29709786566238533</v>
      </c>
      <c r="Q193" s="20">
        <f t="shared" si="9"/>
        <v>-1.591581961804224E-2</v>
      </c>
      <c r="R193" s="20">
        <f t="shared" si="10"/>
        <v>-1.843244366110721E-2</v>
      </c>
    </row>
    <row r="194" spans="1:18" ht="17.399999999999999" x14ac:dyDescent="0.4">
      <c r="A194" s="12" t="s">
        <v>379</v>
      </c>
      <c r="B194" s="13">
        <v>182936521048</v>
      </c>
      <c r="C194" s="13">
        <v>185447773655</v>
      </c>
      <c r="D194" s="13">
        <v>2511252607</v>
      </c>
      <c r="E194" s="13">
        <v>6231225</v>
      </c>
      <c r="F194" s="13">
        <v>3857075</v>
      </c>
      <c r="G194" s="13">
        <v>48080</v>
      </c>
      <c r="H194" s="13">
        <v>29761</v>
      </c>
      <c r="I194" s="14" t="s">
        <v>95</v>
      </c>
      <c r="J194" s="14" t="s">
        <v>24</v>
      </c>
      <c r="K194" s="15" t="s">
        <v>138</v>
      </c>
      <c r="L194" s="15" t="s">
        <v>139</v>
      </c>
      <c r="M194" s="16" t="s">
        <v>380</v>
      </c>
      <c r="N194" s="15" t="s">
        <v>200</v>
      </c>
      <c r="O194" s="15" t="s">
        <v>229</v>
      </c>
      <c r="P194" s="20">
        <f t="shared" si="8"/>
        <v>4.8273279501732234E-2</v>
      </c>
      <c r="Q194" s="20">
        <f t="shared" si="9"/>
        <v>-2.121688302998069E-2</v>
      </c>
      <c r="R194" s="20">
        <f t="shared" si="10"/>
        <v>1.0267007066223494E-3</v>
      </c>
    </row>
    <row r="195" spans="1:18" ht="17.399999999999999" x14ac:dyDescent="0.4">
      <c r="A195" s="12" t="s">
        <v>381</v>
      </c>
      <c r="B195" s="13">
        <v>179784736109</v>
      </c>
      <c r="C195" s="13">
        <v>182935262996</v>
      </c>
      <c r="D195" s="13">
        <v>3150526887</v>
      </c>
      <c r="E195" s="13">
        <v>5948919</v>
      </c>
      <c r="F195" s="13">
        <v>3765491</v>
      </c>
      <c r="G195" s="13">
        <v>48582</v>
      </c>
      <c r="H195" s="13">
        <v>30751</v>
      </c>
      <c r="I195" s="14" t="s">
        <v>95</v>
      </c>
      <c r="J195" s="14" t="s">
        <v>24</v>
      </c>
      <c r="K195" s="16" t="s">
        <v>97</v>
      </c>
      <c r="L195" s="16" t="s">
        <v>248</v>
      </c>
      <c r="M195" s="15" t="s">
        <v>45</v>
      </c>
      <c r="N195" s="16" t="s">
        <v>382</v>
      </c>
      <c r="O195" s="16" t="s">
        <v>182</v>
      </c>
      <c r="P195" s="20">
        <f t="shared" si="8"/>
        <v>8.907720497952494E-2</v>
      </c>
      <c r="Q195" s="20">
        <f t="shared" si="9"/>
        <v>1.5398456723534761E-2</v>
      </c>
      <c r="R195" s="20">
        <f t="shared" si="10"/>
        <v>4.2892609639004028E-2</v>
      </c>
    </row>
    <row r="196" spans="1:18" ht="17.399999999999999" x14ac:dyDescent="0.4">
      <c r="A196" s="12" t="s">
        <v>383</v>
      </c>
      <c r="B196" s="13">
        <v>145034999011</v>
      </c>
      <c r="C196" s="13">
        <v>147319389015</v>
      </c>
      <c r="D196" s="13">
        <v>2284390004</v>
      </c>
      <c r="E196" s="13">
        <v>5820255</v>
      </c>
      <c r="F196" s="13">
        <v>3720890</v>
      </c>
      <c r="G196" s="13">
        <v>39593</v>
      </c>
      <c r="H196" s="13">
        <v>25312</v>
      </c>
      <c r="I196" s="14" t="s">
        <v>95</v>
      </c>
      <c r="J196" s="14" t="s">
        <v>24</v>
      </c>
      <c r="K196" s="16" t="s">
        <v>170</v>
      </c>
      <c r="L196" s="16" t="s">
        <v>384</v>
      </c>
      <c r="M196" s="16" t="s">
        <v>385</v>
      </c>
      <c r="N196" s="16" t="s">
        <v>160</v>
      </c>
      <c r="O196" s="16" t="s">
        <v>162</v>
      </c>
      <c r="P196" s="20">
        <f t="shared" si="8"/>
        <v>-0.19757309712841456</v>
      </c>
      <c r="Q196" s="20">
        <f t="shared" si="9"/>
        <v>9.4377047518890811E-2</v>
      </c>
      <c r="R196" s="20">
        <f t="shared" si="10"/>
        <v>8.9072107134379547E-2</v>
      </c>
    </row>
    <row r="197" spans="1:18" ht="17.399999999999999" x14ac:dyDescent="0.4">
      <c r="A197" s="12" t="s">
        <v>386</v>
      </c>
      <c r="B197" s="13">
        <v>179078394521</v>
      </c>
      <c r="C197" s="13">
        <v>181935443944</v>
      </c>
      <c r="D197" s="13">
        <v>2857049424</v>
      </c>
      <c r="E197" s="13">
        <v>5665892</v>
      </c>
      <c r="F197" s="13">
        <v>3676357</v>
      </c>
      <c r="G197" s="13">
        <v>49488</v>
      </c>
      <c r="H197" s="13">
        <v>32111</v>
      </c>
      <c r="I197" s="14" t="s">
        <v>41</v>
      </c>
      <c r="J197" s="14" t="s">
        <v>24</v>
      </c>
      <c r="K197" s="15" t="s">
        <v>387</v>
      </c>
      <c r="L197" s="15" t="s">
        <v>387</v>
      </c>
      <c r="M197" s="15" t="s">
        <v>388</v>
      </c>
      <c r="N197" s="16" t="s">
        <v>389</v>
      </c>
      <c r="O197" s="16" t="s">
        <v>162</v>
      </c>
      <c r="P197" s="20">
        <f t="shared" si="8"/>
        <v>0.10698175120238851</v>
      </c>
      <c r="Q197" s="20">
        <f t="shared" si="9"/>
        <v>0.17463697718225216</v>
      </c>
      <c r="R197" s="20">
        <f t="shared" si="10"/>
        <v>7.6752775092991249E-2</v>
      </c>
    </row>
    <row r="198" spans="1:18" ht="17.399999999999999" x14ac:dyDescent="0.4">
      <c r="A198" s="12" t="s">
        <v>390</v>
      </c>
      <c r="B198" s="13">
        <v>174421251405</v>
      </c>
      <c r="C198" s="13">
        <v>177406943720</v>
      </c>
      <c r="D198" s="13">
        <v>2985692315</v>
      </c>
      <c r="E198" s="13">
        <v>5234543</v>
      </c>
      <c r="F198" s="13">
        <v>3470752</v>
      </c>
      <c r="G198" s="13">
        <v>51115</v>
      </c>
      <c r="H198" s="13">
        <v>33892</v>
      </c>
      <c r="I198" s="14" t="s">
        <v>41</v>
      </c>
      <c r="J198" s="14" t="s">
        <v>24</v>
      </c>
      <c r="K198" s="16" t="s">
        <v>206</v>
      </c>
      <c r="L198" s="16" t="s">
        <v>213</v>
      </c>
      <c r="M198" s="15" t="s">
        <v>38</v>
      </c>
      <c r="N198" s="16" t="s">
        <v>391</v>
      </c>
      <c r="O198" s="16" t="s">
        <v>392</v>
      </c>
      <c r="P198" s="20">
        <f t="shared" si="8"/>
        <v>-7.9926575918619791E-2</v>
      </c>
      <c r="Q198" s="20">
        <f t="shared" si="9"/>
        <v>-5.5831816249371627E-2</v>
      </c>
      <c r="R198" s="20">
        <f t="shared" si="10"/>
        <v>-4.055181473337819E-2</v>
      </c>
    </row>
    <row r="199" spans="1:18" ht="17.399999999999999" x14ac:dyDescent="0.4">
      <c r="A199" s="12" t="s">
        <v>393</v>
      </c>
      <c r="B199" s="13">
        <v>206478669550</v>
      </c>
      <c r="C199" s="13">
        <v>209706205211</v>
      </c>
      <c r="D199" s="13">
        <v>3227535661</v>
      </c>
      <c r="E199" s="13">
        <v>4486612</v>
      </c>
      <c r="F199" s="13">
        <v>3251070</v>
      </c>
      <c r="G199" s="13">
        <v>64504</v>
      </c>
      <c r="H199" s="13">
        <v>46740</v>
      </c>
      <c r="I199" s="14" t="s">
        <v>23</v>
      </c>
      <c r="J199" s="14" t="s">
        <v>24</v>
      </c>
      <c r="K199" s="15" t="s">
        <v>309</v>
      </c>
      <c r="L199" s="15" t="s">
        <v>394</v>
      </c>
      <c r="M199" s="15" t="s">
        <v>395</v>
      </c>
      <c r="N199" s="16" t="s">
        <v>130</v>
      </c>
      <c r="O199" s="16" t="s">
        <v>195</v>
      </c>
      <c r="P199" s="20">
        <f t="shared" si="8"/>
        <v>-2.7370237474267319E-2</v>
      </c>
      <c r="Q199" s="20">
        <f t="shared" si="9"/>
        <v>-2.7070678682851609E-2</v>
      </c>
      <c r="R199" s="20">
        <f t="shared" si="10"/>
        <v>-1.8743378697742646E-2</v>
      </c>
    </row>
    <row r="200" spans="1:18" ht="17.399999999999999" x14ac:dyDescent="0.4">
      <c r="A200" s="12" t="s">
        <v>396</v>
      </c>
      <c r="B200" s="13">
        <v>180774917653</v>
      </c>
      <c r="C200" s="13">
        <v>183166576096</v>
      </c>
      <c r="D200" s="13">
        <v>2391658443</v>
      </c>
      <c r="E200" s="13">
        <v>4687834</v>
      </c>
      <c r="F200" s="13">
        <v>3364195</v>
      </c>
      <c r="G200" s="13">
        <v>54446</v>
      </c>
      <c r="H200" s="13">
        <v>39073</v>
      </c>
      <c r="I200" s="14" t="s">
        <v>23</v>
      </c>
      <c r="J200" s="14" t="s">
        <v>24</v>
      </c>
      <c r="K200" s="16" t="s">
        <v>397</v>
      </c>
      <c r="L200" s="16" t="s">
        <v>315</v>
      </c>
      <c r="M200" s="16" t="s">
        <v>398</v>
      </c>
      <c r="N200" s="15" t="s">
        <v>38</v>
      </c>
      <c r="O200" s="15" t="s">
        <v>399</v>
      </c>
      <c r="P200" s="20">
        <f t="shared" ref="P200:P262" si="11">(B200-B193)/B193</f>
        <v>7.080161447778008E-3</v>
      </c>
      <c r="Q200" s="20">
        <f t="shared" si="9"/>
        <v>3.6591608658408307E-3</v>
      </c>
      <c r="R200" s="20">
        <f t="shared" si="10"/>
        <v>-2.8442781428962257E-3</v>
      </c>
    </row>
    <row r="201" spans="1:18" ht="17.399999999999999" x14ac:dyDescent="0.4">
      <c r="A201" s="12" t="s">
        <v>400</v>
      </c>
      <c r="B201" s="13">
        <v>177248463047</v>
      </c>
      <c r="C201" s="13">
        <v>179660932454</v>
      </c>
      <c r="D201" s="13">
        <v>2412469407</v>
      </c>
      <c r="E201" s="13">
        <v>6161176</v>
      </c>
      <c r="F201" s="13">
        <v>3904666</v>
      </c>
      <c r="G201" s="13">
        <v>46012</v>
      </c>
      <c r="H201" s="13">
        <v>29160</v>
      </c>
      <c r="I201" s="14" t="s">
        <v>95</v>
      </c>
      <c r="J201" s="14" t="s">
        <v>24</v>
      </c>
      <c r="K201" s="16" t="s">
        <v>306</v>
      </c>
      <c r="L201" s="16" t="s">
        <v>86</v>
      </c>
      <c r="M201" s="15" t="s">
        <v>128</v>
      </c>
      <c r="N201" s="15" t="s">
        <v>401</v>
      </c>
      <c r="O201" s="15" t="s">
        <v>402</v>
      </c>
      <c r="P201" s="20">
        <f t="shared" si="11"/>
        <v>-3.1093069707538237E-2</v>
      </c>
      <c r="Q201" s="20">
        <f t="shared" si="9"/>
        <v>-1.1241609795826663E-2</v>
      </c>
      <c r="R201" s="20">
        <f t="shared" si="10"/>
        <v>1.2338624475800964E-2</v>
      </c>
    </row>
    <row r="202" spans="1:18" ht="17.399999999999999" x14ac:dyDescent="0.4">
      <c r="A202" s="12" t="s">
        <v>403</v>
      </c>
      <c r="B202" s="13">
        <v>174041680055</v>
      </c>
      <c r="C202" s="13">
        <v>176970235945</v>
      </c>
      <c r="D202" s="13">
        <v>2928555891</v>
      </c>
      <c r="E202" s="13">
        <v>5847773</v>
      </c>
      <c r="F202" s="13">
        <v>3773163</v>
      </c>
      <c r="G202" s="13">
        <v>46902</v>
      </c>
      <c r="H202" s="13">
        <v>30263</v>
      </c>
      <c r="I202" s="14" t="s">
        <v>41</v>
      </c>
      <c r="J202" s="14" t="s">
        <v>24</v>
      </c>
      <c r="K202" s="16" t="s">
        <v>93</v>
      </c>
      <c r="L202" s="16" t="s">
        <v>161</v>
      </c>
      <c r="M202" s="15" t="s">
        <v>404</v>
      </c>
      <c r="N202" s="16" t="s">
        <v>122</v>
      </c>
      <c r="O202" s="16" t="s">
        <v>119</v>
      </c>
      <c r="P202" s="20">
        <f t="shared" si="11"/>
        <v>-3.1944069214630638E-2</v>
      </c>
      <c r="Q202" s="20">
        <f t="shared" si="9"/>
        <v>-1.7002416741596246E-2</v>
      </c>
      <c r="R202" s="20">
        <f t="shared" si="10"/>
        <v>2.0374500961494795E-3</v>
      </c>
    </row>
    <row r="203" spans="1:18" ht="17.399999999999999" x14ac:dyDescent="0.4">
      <c r="A203" s="12" t="s">
        <v>405</v>
      </c>
      <c r="B203" s="13">
        <v>139802665403</v>
      </c>
      <c r="C203" s="13">
        <v>141978188283</v>
      </c>
      <c r="D203" s="13">
        <v>2175522881</v>
      </c>
      <c r="E203" s="13">
        <v>5635142</v>
      </c>
      <c r="F203" s="13">
        <v>3657198</v>
      </c>
      <c r="G203" s="13">
        <v>38822</v>
      </c>
      <c r="H203" s="13">
        <v>25195</v>
      </c>
      <c r="I203" s="14" t="s">
        <v>41</v>
      </c>
      <c r="J203" s="14" t="s">
        <v>24</v>
      </c>
      <c r="K203" s="16" t="s">
        <v>406</v>
      </c>
      <c r="L203" s="16" t="s">
        <v>407</v>
      </c>
      <c r="M203" s="16" t="s">
        <v>408</v>
      </c>
      <c r="N203" s="16" t="s">
        <v>157</v>
      </c>
      <c r="O203" s="16" t="s">
        <v>123</v>
      </c>
      <c r="P203" s="20">
        <f t="shared" si="11"/>
        <v>-3.6076351526731561E-2</v>
      </c>
      <c r="Q203" s="20">
        <f t="shared" si="9"/>
        <v>-3.1804963871857848E-2</v>
      </c>
      <c r="R203" s="20">
        <f t="shared" si="10"/>
        <v>-1.7117410081996513E-2</v>
      </c>
    </row>
    <row r="204" spans="1:18" ht="17.399999999999999" x14ac:dyDescent="0.4">
      <c r="A204" s="12" t="s">
        <v>177</v>
      </c>
      <c r="B204" s="13">
        <v>179451397832</v>
      </c>
      <c r="C204" s="13">
        <v>182324081220</v>
      </c>
      <c r="D204" s="13">
        <v>2872683388</v>
      </c>
      <c r="E204" s="13">
        <v>5689731</v>
      </c>
      <c r="F204" s="13">
        <v>3756863</v>
      </c>
      <c r="G204" s="13">
        <v>48531</v>
      </c>
      <c r="H204" s="13">
        <v>32044</v>
      </c>
      <c r="I204" s="14" t="s">
        <v>41</v>
      </c>
      <c r="J204" s="14" t="s">
        <v>24</v>
      </c>
      <c r="K204" s="15" t="s">
        <v>178</v>
      </c>
      <c r="L204" s="15" t="s">
        <v>178</v>
      </c>
      <c r="M204" s="15" t="s">
        <v>179</v>
      </c>
      <c r="N204" s="15" t="s">
        <v>79</v>
      </c>
      <c r="O204" s="15" t="s">
        <v>180</v>
      </c>
      <c r="P204" s="20">
        <f t="shared" si="11"/>
        <v>2.0829051544588146E-3</v>
      </c>
      <c r="Q204" s="20">
        <f t="shared" si="9"/>
        <v>4.2074575371362534E-3</v>
      </c>
      <c r="R204" s="20">
        <f t="shared" si="10"/>
        <v>2.1898308570141582E-2</v>
      </c>
    </row>
    <row r="205" spans="1:18" ht="17.399999999999999" x14ac:dyDescent="0.4">
      <c r="A205" s="12" t="s">
        <v>181</v>
      </c>
      <c r="B205" s="13">
        <v>168913354779</v>
      </c>
      <c r="C205" s="13">
        <v>171743066197</v>
      </c>
      <c r="D205" s="13">
        <v>2829711418</v>
      </c>
      <c r="E205" s="13">
        <v>5453924</v>
      </c>
      <c r="F205" s="13">
        <v>3664870</v>
      </c>
      <c r="G205" s="13">
        <v>46862</v>
      </c>
      <c r="H205" s="13">
        <v>31490</v>
      </c>
      <c r="I205" s="14" t="s">
        <v>41</v>
      </c>
      <c r="J205" s="14" t="s">
        <v>24</v>
      </c>
      <c r="K205" s="16" t="s">
        <v>90</v>
      </c>
      <c r="L205" s="16" t="s">
        <v>89</v>
      </c>
      <c r="M205" s="16" t="s">
        <v>161</v>
      </c>
      <c r="N205" s="16" t="s">
        <v>164</v>
      </c>
      <c r="O205" s="16" t="s">
        <v>182</v>
      </c>
      <c r="P205" s="20">
        <f t="shared" si="11"/>
        <v>-3.1578128133084298E-2</v>
      </c>
      <c r="Q205" s="20">
        <f t="shared" si="9"/>
        <v>4.1910248898518937E-2</v>
      </c>
      <c r="R205" s="20">
        <f t="shared" si="10"/>
        <v>5.5929665962880667E-2</v>
      </c>
    </row>
    <row r="206" spans="1:18" ht="17.399999999999999" x14ac:dyDescent="0.4">
      <c r="A206" s="12" t="s">
        <v>183</v>
      </c>
      <c r="B206" s="13">
        <v>197295138281</v>
      </c>
      <c r="C206" s="13">
        <v>200540656558</v>
      </c>
      <c r="D206" s="13">
        <v>3245518277</v>
      </c>
      <c r="E206" s="13">
        <v>4481804</v>
      </c>
      <c r="F206" s="13">
        <v>3297547</v>
      </c>
      <c r="G206" s="13">
        <v>60815</v>
      </c>
      <c r="H206" s="13">
        <v>44746</v>
      </c>
      <c r="I206" s="14" t="s">
        <v>23</v>
      </c>
      <c r="J206" s="14" t="s">
        <v>24</v>
      </c>
      <c r="K206" s="15" t="s">
        <v>184</v>
      </c>
      <c r="L206" s="15" t="s">
        <v>184</v>
      </c>
      <c r="M206" s="15" t="s">
        <v>185</v>
      </c>
      <c r="N206" s="16" t="s">
        <v>186</v>
      </c>
      <c r="O206" s="16" t="s">
        <v>187</v>
      </c>
      <c r="P206" s="20">
        <f t="shared" si="11"/>
        <v>-4.4476900635860378E-2</v>
      </c>
      <c r="Q206" s="20">
        <f t="shared" ref="Q206:Q263" si="12">(E206-E199)/E199</f>
        <v>-1.0716326707101037E-3</v>
      </c>
      <c r="R206" s="20">
        <f t="shared" ref="R206:R263" si="13">(F206-F199)/F199</f>
        <v>1.4295908731586831E-2</v>
      </c>
    </row>
    <row r="207" spans="1:18" ht="17.399999999999999" x14ac:dyDescent="0.4">
      <c r="A207" s="12" t="s">
        <v>188</v>
      </c>
      <c r="B207" s="13">
        <v>172545914776</v>
      </c>
      <c r="C207" s="13">
        <v>174844156520</v>
      </c>
      <c r="D207" s="13">
        <v>2298241745</v>
      </c>
      <c r="E207" s="13">
        <v>4612045</v>
      </c>
      <c r="F207" s="13">
        <v>3367136</v>
      </c>
      <c r="G207" s="13">
        <v>51927</v>
      </c>
      <c r="H207" s="13">
        <v>37910</v>
      </c>
      <c r="I207" s="14" t="s">
        <v>23</v>
      </c>
      <c r="J207" s="14" t="s">
        <v>24</v>
      </c>
      <c r="K207" s="16" t="s">
        <v>189</v>
      </c>
      <c r="L207" s="16" t="s">
        <v>190</v>
      </c>
      <c r="M207" s="16" t="s">
        <v>191</v>
      </c>
      <c r="N207" s="15" t="s">
        <v>192</v>
      </c>
      <c r="O207" s="15" t="s">
        <v>193</v>
      </c>
      <c r="P207" s="20">
        <f t="shared" si="11"/>
        <v>-4.5520711522577965E-2</v>
      </c>
      <c r="Q207" s="20">
        <f t="shared" si="12"/>
        <v>-1.6167168035386918E-2</v>
      </c>
      <c r="R207" s="20">
        <f t="shared" si="13"/>
        <v>8.7420616224683769E-4</v>
      </c>
    </row>
    <row r="208" spans="1:18" ht="17.399999999999999" x14ac:dyDescent="0.4">
      <c r="A208" s="12" t="s">
        <v>194</v>
      </c>
      <c r="B208" s="13">
        <v>170016201308</v>
      </c>
      <c r="C208" s="13">
        <v>172168605864</v>
      </c>
      <c r="D208" s="13">
        <v>2152404555</v>
      </c>
      <c r="E208" s="13">
        <v>5834018</v>
      </c>
      <c r="F208" s="13">
        <v>3799681</v>
      </c>
      <c r="G208" s="13">
        <v>45311</v>
      </c>
      <c r="H208" s="13">
        <v>29511</v>
      </c>
      <c r="I208" s="14" t="s">
        <v>41</v>
      </c>
      <c r="J208" s="14" t="s">
        <v>24</v>
      </c>
      <c r="K208" s="16" t="s">
        <v>161</v>
      </c>
      <c r="L208" s="16" t="s">
        <v>161</v>
      </c>
      <c r="M208" s="16" t="s">
        <v>195</v>
      </c>
      <c r="N208" s="15" t="s">
        <v>196</v>
      </c>
      <c r="O208" s="15" t="s">
        <v>197</v>
      </c>
      <c r="P208" s="20">
        <f t="shared" si="11"/>
        <v>-4.0802958822171907E-2</v>
      </c>
      <c r="Q208" s="20">
        <f t="shared" si="12"/>
        <v>-5.3099927676144944E-2</v>
      </c>
      <c r="R208" s="20">
        <f t="shared" si="13"/>
        <v>-2.6887062811518321E-2</v>
      </c>
    </row>
    <row r="209" spans="1:18" ht="17.399999999999999" x14ac:dyDescent="0.4">
      <c r="A209" s="12" t="s">
        <v>198</v>
      </c>
      <c r="B209" s="13">
        <v>177907894439</v>
      </c>
      <c r="C209" s="13">
        <v>180779495159</v>
      </c>
      <c r="D209" s="13">
        <v>2871600719</v>
      </c>
      <c r="E209" s="13">
        <v>5868352</v>
      </c>
      <c r="F209" s="13">
        <v>3839079</v>
      </c>
      <c r="G209" s="13">
        <v>47089</v>
      </c>
      <c r="H209" s="13">
        <v>30806</v>
      </c>
      <c r="I209" s="14" t="s">
        <v>41</v>
      </c>
      <c r="J209" s="14" t="s">
        <v>24</v>
      </c>
      <c r="K209" s="15" t="s">
        <v>70</v>
      </c>
      <c r="L209" s="15" t="s">
        <v>199</v>
      </c>
      <c r="M209" s="15" t="s">
        <v>200</v>
      </c>
      <c r="N209" s="15" t="s">
        <v>201</v>
      </c>
      <c r="O209" s="15" t="s">
        <v>79</v>
      </c>
      <c r="P209" s="20">
        <f t="shared" si="11"/>
        <v>2.2214301670601049E-2</v>
      </c>
      <c r="Q209" s="20">
        <f t="shared" si="12"/>
        <v>3.5191174486424149E-3</v>
      </c>
      <c r="R209" s="20">
        <f t="shared" si="13"/>
        <v>1.746969319904812E-2</v>
      </c>
    </row>
    <row r="210" spans="1:18" ht="17.399999999999999" x14ac:dyDescent="0.4">
      <c r="A210" s="12" t="s">
        <v>202</v>
      </c>
      <c r="B210" s="13">
        <v>141478450076</v>
      </c>
      <c r="C210" s="13">
        <v>143676536751</v>
      </c>
      <c r="D210" s="13">
        <v>2198086674</v>
      </c>
      <c r="E210" s="13">
        <v>5699701</v>
      </c>
      <c r="F210" s="13">
        <v>3737776</v>
      </c>
      <c r="G210" s="13">
        <v>38439</v>
      </c>
      <c r="H210" s="13">
        <v>25208</v>
      </c>
      <c r="I210" s="14" t="s">
        <v>41</v>
      </c>
      <c r="J210" s="14" t="s">
        <v>24</v>
      </c>
      <c r="K210" s="16" t="s">
        <v>203</v>
      </c>
      <c r="L210" s="16" t="s">
        <v>203</v>
      </c>
      <c r="M210" s="16" t="s">
        <v>204</v>
      </c>
      <c r="N210" s="16" t="s">
        <v>205</v>
      </c>
      <c r="O210" s="16" t="s">
        <v>206</v>
      </c>
      <c r="P210" s="20">
        <f t="shared" si="11"/>
        <v>1.1986786290299438E-2</v>
      </c>
      <c r="Q210" s="20">
        <f t="shared" si="12"/>
        <v>1.1456499232849856E-2</v>
      </c>
      <c r="R210" s="20">
        <f t="shared" si="13"/>
        <v>2.2032714662974223E-2</v>
      </c>
    </row>
    <row r="211" spans="1:18" ht="17.399999999999999" x14ac:dyDescent="0.4">
      <c r="A211" s="12" t="s">
        <v>207</v>
      </c>
      <c r="B211" s="13">
        <v>175546087127</v>
      </c>
      <c r="C211" s="13">
        <v>178259551001</v>
      </c>
      <c r="D211" s="13">
        <v>2713463872</v>
      </c>
      <c r="E211" s="13">
        <v>5626600</v>
      </c>
      <c r="F211" s="13">
        <v>3699738</v>
      </c>
      <c r="G211" s="13">
        <v>48182</v>
      </c>
      <c r="H211" s="13">
        <v>31682</v>
      </c>
      <c r="I211" s="14" t="s">
        <v>41</v>
      </c>
      <c r="J211" s="14" t="s">
        <v>24</v>
      </c>
      <c r="K211" s="15" t="s">
        <v>208</v>
      </c>
      <c r="L211" s="15" t="s">
        <v>208</v>
      </c>
      <c r="M211" s="15" t="s">
        <v>209</v>
      </c>
      <c r="N211" s="16" t="s">
        <v>210</v>
      </c>
      <c r="O211" s="16" t="s">
        <v>211</v>
      </c>
      <c r="P211" s="20">
        <f t="shared" si="11"/>
        <v>-2.1762498103559492E-2</v>
      </c>
      <c r="Q211" s="20">
        <f t="shared" si="12"/>
        <v>-1.1095603641015717E-2</v>
      </c>
      <c r="R211" s="20">
        <f t="shared" si="13"/>
        <v>-1.5205505231359249E-2</v>
      </c>
    </row>
    <row r="212" spans="1:18" ht="17.399999999999999" x14ac:dyDescent="0.4">
      <c r="A212" s="12" t="s">
        <v>212</v>
      </c>
      <c r="B212" s="13">
        <v>171071425652</v>
      </c>
      <c r="C212" s="13">
        <v>173894379765</v>
      </c>
      <c r="D212" s="13">
        <v>2822954114</v>
      </c>
      <c r="E212" s="13">
        <v>5267275</v>
      </c>
      <c r="F212" s="13">
        <v>3509800</v>
      </c>
      <c r="G212" s="13">
        <v>49545</v>
      </c>
      <c r="H212" s="13">
        <v>33014</v>
      </c>
      <c r="I212" s="14" t="s">
        <v>41</v>
      </c>
      <c r="J212" s="14" t="s">
        <v>24</v>
      </c>
      <c r="K212" s="16" t="s">
        <v>213</v>
      </c>
      <c r="L212" s="16" t="s">
        <v>182</v>
      </c>
      <c r="M212" s="15" t="s">
        <v>214</v>
      </c>
      <c r="N212" s="16" t="s">
        <v>58</v>
      </c>
      <c r="O212" s="16" t="s">
        <v>122</v>
      </c>
      <c r="P212" s="20">
        <f t="shared" si="11"/>
        <v>1.2776200412475024E-2</v>
      </c>
      <c r="Q212" s="20">
        <f t="shared" si="12"/>
        <v>-3.4222882460408326E-2</v>
      </c>
      <c r="R212" s="20">
        <f t="shared" si="13"/>
        <v>-4.231255133197085E-2</v>
      </c>
    </row>
    <row r="213" spans="1:18" ht="17.399999999999999" x14ac:dyDescent="0.4">
      <c r="A213" s="12" t="s">
        <v>215</v>
      </c>
      <c r="B213" s="13">
        <v>203455099787</v>
      </c>
      <c r="C213" s="13">
        <v>206872692041</v>
      </c>
      <c r="D213" s="13">
        <v>3417592255</v>
      </c>
      <c r="E213" s="13">
        <v>4504734</v>
      </c>
      <c r="F213" s="13">
        <v>3272329</v>
      </c>
      <c r="G213" s="13">
        <v>63219</v>
      </c>
      <c r="H213" s="13">
        <v>45923</v>
      </c>
      <c r="I213" s="14" t="s">
        <v>23</v>
      </c>
      <c r="J213" s="14" t="s">
        <v>24</v>
      </c>
      <c r="K213" s="15" t="s">
        <v>216</v>
      </c>
      <c r="L213" s="15" t="s">
        <v>217</v>
      </c>
      <c r="M213" s="15" t="s">
        <v>218</v>
      </c>
      <c r="N213" s="16" t="s">
        <v>219</v>
      </c>
      <c r="O213" s="16" t="s">
        <v>220</v>
      </c>
      <c r="P213" s="20">
        <f t="shared" si="11"/>
        <v>3.1222064363423896E-2</v>
      </c>
      <c r="Q213" s="20">
        <f t="shared" si="12"/>
        <v>5.1162433698573161E-3</v>
      </c>
      <c r="R213" s="20">
        <f t="shared" si="13"/>
        <v>-7.6475028255852005E-3</v>
      </c>
    </row>
    <row r="214" spans="1:18" ht="17.399999999999999" x14ac:dyDescent="0.4">
      <c r="A214" s="12" t="s">
        <v>221</v>
      </c>
      <c r="B214" s="13">
        <v>176548070384</v>
      </c>
      <c r="C214" s="13">
        <v>178956951497</v>
      </c>
      <c r="D214" s="13">
        <v>2408881113</v>
      </c>
      <c r="E214" s="13">
        <v>4699607</v>
      </c>
      <c r="F214" s="13">
        <v>3408657</v>
      </c>
      <c r="G214" s="13">
        <v>52501</v>
      </c>
      <c r="H214" s="13">
        <v>38079</v>
      </c>
      <c r="I214" s="14" t="s">
        <v>23</v>
      </c>
      <c r="J214" s="14" t="s">
        <v>24</v>
      </c>
      <c r="K214" s="16" t="s">
        <v>69</v>
      </c>
      <c r="L214" s="16" t="s">
        <v>222</v>
      </c>
      <c r="M214" s="16" t="s">
        <v>223</v>
      </c>
      <c r="N214" s="15" t="s">
        <v>224</v>
      </c>
      <c r="O214" s="15" t="s">
        <v>225</v>
      </c>
      <c r="P214" s="20">
        <f t="shared" si="11"/>
        <v>2.3194728273895206E-2</v>
      </c>
      <c r="Q214" s="20">
        <f t="shared" si="12"/>
        <v>1.8985504261124945E-2</v>
      </c>
      <c r="R214" s="20">
        <f t="shared" si="13"/>
        <v>1.2331251247350865E-2</v>
      </c>
    </row>
    <row r="215" spans="1:18" ht="17.399999999999999" x14ac:dyDescent="0.4">
      <c r="A215" s="12" t="s">
        <v>226</v>
      </c>
      <c r="B215" s="13">
        <v>179137738277</v>
      </c>
      <c r="C215" s="13">
        <v>181551488715</v>
      </c>
      <c r="D215" s="13">
        <v>2413750437</v>
      </c>
      <c r="E215" s="13">
        <v>6186566</v>
      </c>
      <c r="F215" s="13">
        <v>3895052</v>
      </c>
      <c r="G215" s="13">
        <v>46611</v>
      </c>
      <c r="H215" s="13">
        <v>29346</v>
      </c>
      <c r="I215" s="14" t="s">
        <v>95</v>
      </c>
      <c r="J215" s="14" t="s">
        <v>24</v>
      </c>
      <c r="K215" s="15" t="s">
        <v>153</v>
      </c>
      <c r="L215" s="15" t="s">
        <v>227</v>
      </c>
      <c r="M215" s="15" t="s">
        <v>111</v>
      </c>
      <c r="N215" s="15" t="s">
        <v>228</v>
      </c>
      <c r="O215" s="15" t="s">
        <v>229</v>
      </c>
      <c r="P215" s="20">
        <f t="shared" si="11"/>
        <v>5.3650986781403828E-2</v>
      </c>
      <c r="Q215" s="20">
        <f t="shared" si="12"/>
        <v>6.0429707278928518E-2</v>
      </c>
      <c r="R215" s="20">
        <f t="shared" si="13"/>
        <v>2.5099738635953914E-2</v>
      </c>
    </row>
    <row r="216" spans="1:18" ht="17.399999999999999" x14ac:dyDescent="0.4">
      <c r="A216" s="12" t="s">
        <v>230</v>
      </c>
      <c r="B216" s="13">
        <v>177606255827</v>
      </c>
      <c r="C216" s="13">
        <v>180634346609</v>
      </c>
      <c r="D216" s="13">
        <v>3028090783</v>
      </c>
      <c r="E216" s="13">
        <v>5935717</v>
      </c>
      <c r="F216" s="13">
        <v>3814712</v>
      </c>
      <c r="G216" s="13">
        <v>47352</v>
      </c>
      <c r="H216" s="13">
        <v>30432</v>
      </c>
      <c r="I216" s="14" t="s">
        <v>95</v>
      </c>
      <c r="J216" s="14" t="s">
        <v>24</v>
      </c>
      <c r="K216" s="16" t="s">
        <v>231</v>
      </c>
      <c r="L216" s="16" t="s">
        <v>232</v>
      </c>
      <c r="M216" s="15" t="s">
        <v>45</v>
      </c>
      <c r="N216" s="16" t="s">
        <v>164</v>
      </c>
      <c r="O216" s="16" t="s">
        <v>96</v>
      </c>
      <c r="P216" s="20">
        <f t="shared" si="11"/>
        <v>-1.6954762628783966E-3</v>
      </c>
      <c r="Q216" s="20">
        <f t="shared" si="12"/>
        <v>1.1479372743829954E-2</v>
      </c>
      <c r="R216" s="20">
        <f t="shared" si="13"/>
        <v>-6.3470952277877067E-3</v>
      </c>
    </row>
    <row r="217" spans="1:18" ht="17.399999999999999" x14ac:dyDescent="0.4">
      <c r="A217" s="12" t="s">
        <v>233</v>
      </c>
      <c r="B217" s="13">
        <v>141155235402</v>
      </c>
      <c r="C217" s="13">
        <v>143419069009</v>
      </c>
      <c r="D217" s="13">
        <v>2263833608</v>
      </c>
      <c r="E217" s="13">
        <v>5629318</v>
      </c>
      <c r="F217" s="13">
        <v>3623582</v>
      </c>
      <c r="G217" s="13">
        <v>39579</v>
      </c>
      <c r="H217" s="13">
        <v>25477</v>
      </c>
      <c r="I217" s="14" t="s">
        <v>95</v>
      </c>
      <c r="J217" s="14" t="s">
        <v>24</v>
      </c>
      <c r="K217" s="16" t="s">
        <v>203</v>
      </c>
      <c r="L217" s="16" t="s">
        <v>234</v>
      </c>
      <c r="M217" s="16" t="s">
        <v>235</v>
      </c>
      <c r="N217" s="16" t="s">
        <v>100</v>
      </c>
      <c r="O217" s="16" t="s">
        <v>236</v>
      </c>
      <c r="P217" s="20">
        <f t="shared" si="11"/>
        <v>-2.284550571669213E-3</v>
      </c>
      <c r="Q217" s="20">
        <f t="shared" si="12"/>
        <v>-1.2348542493720284E-2</v>
      </c>
      <c r="R217" s="20">
        <f t="shared" si="13"/>
        <v>-3.0551322497656359E-2</v>
      </c>
    </row>
    <row r="218" spans="1:18" ht="17.399999999999999" x14ac:dyDescent="0.4">
      <c r="A218" s="12" t="s">
        <v>237</v>
      </c>
      <c r="B218" s="13">
        <v>177192388547</v>
      </c>
      <c r="C218" s="13">
        <v>180033335645</v>
      </c>
      <c r="D218" s="13">
        <v>2840947098</v>
      </c>
      <c r="E218" s="13">
        <v>5557881</v>
      </c>
      <c r="F218" s="13">
        <v>3611158</v>
      </c>
      <c r="G218" s="13">
        <v>49855</v>
      </c>
      <c r="H218" s="13">
        <v>32392</v>
      </c>
      <c r="I218" s="14" t="s">
        <v>41</v>
      </c>
      <c r="J218" s="14" t="s">
        <v>24</v>
      </c>
      <c r="K218" s="15" t="s">
        <v>45</v>
      </c>
      <c r="L218" s="15" t="s">
        <v>45</v>
      </c>
      <c r="M218" s="15" t="s">
        <v>45</v>
      </c>
      <c r="N218" s="16" t="s">
        <v>210</v>
      </c>
      <c r="O218" s="16" t="s">
        <v>238</v>
      </c>
      <c r="P218" s="20">
        <f t="shared" si="11"/>
        <v>9.3781721196039662E-3</v>
      </c>
      <c r="Q218" s="20">
        <f t="shared" si="12"/>
        <v>-1.2213237123662603E-2</v>
      </c>
      <c r="R218" s="20">
        <f t="shared" si="13"/>
        <v>-2.3942235909677929E-2</v>
      </c>
    </row>
    <row r="219" spans="1:18" ht="17.399999999999999" x14ac:dyDescent="0.4">
      <c r="A219" s="12" t="s">
        <v>239</v>
      </c>
      <c r="B219" s="13">
        <v>169104678546</v>
      </c>
      <c r="C219" s="13">
        <v>171841801774</v>
      </c>
      <c r="D219" s="13">
        <v>2737123228</v>
      </c>
      <c r="E219" s="13">
        <v>4889367</v>
      </c>
      <c r="F219" s="13">
        <v>3232559</v>
      </c>
      <c r="G219" s="13">
        <v>53160</v>
      </c>
      <c r="H219" s="13">
        <v>35146</v>
      </c>
      <c r="I219" s="14" t="s">
        <v>41</v>
      </c>
      <c r="J219" s="14" t="s">
        <v>24</v>
      </c>
      <c r="K219" s="16" t="s">
        <v>240</v>
      </c>
      <c r="L219" s="16" t="s">
        <v>240</v>
      </c>
      <c r="M219" s="16" t="s">
        <v>241</v>
      </c>
      <c r="N219" s="16" t="s">
        <v>242</v>
      </c>
      <c r="O219" s="16" t="s">
        <v>243</v>
      </c>
      <c r="P219" s="20">
        <f t="shared" si="11"/>
        <v>-1.149664298701077E-2</v>
      </c>
      <c r="Q219" s="20">
        <f t="shared" si="12"/>
        <v>-7.1746396381430627E-2</v>
      </c>
      <c r="R219" s="20">
        <f t="shared" si="13"/>
        <v>-7.899054077155393E-2</v>
      </c>
    </row>
    <row r="220" spans="1:18" ht="17.399999999999999" x14ac:dyDescent="0.4">
      <c r="A220" s="12" t="s">
        <v>244</v>
      </c>
      <c r="B220" s="13">
        <v>203620520213</v>
      </c>
      <c r="C220" s="13">
        <v>206927539917</v>
      </c>
      <c r="D220" s="13">
        <v>3307019704</v>
      </c>
      <c r="E220" s="13">
        <v>4353460</v>
      </c>
      <c r="F220" s="13">
        <v>3188680</v>
      </c>
      <c r="G220" s="13">
        <v>64894</v>
      </c>
      <c r="H220" s="13">
        <v>47532</v>
      </c>
      <c r="I220" s="14" t="s">
        <v>23</v>
      </c>
      <c r="J220" s="14" t="s">
        <v>24</v>
      </c>
      <c r="K220" s="15" t="s">
        <v>245</v>
      </c>
      <c r="L220" s="15" t="s">
        <v>245</v>
      </c>
      <c r="M220" s="15" t="s">
        <v>246</v>
      </c>
      <c r="N220" s="16" t="s">
        <v>247</v>
      </c>
      <c r="O220" s="16" t="s">
        <v>248</v>
      </c>
      <c r="P220" s="20">
        <f t="shared" si="11"/>
        <v>8.1305617884821254E-4</v>
      </c>
      <c r="Q220" s="20">
        <f t="shared" si="12"/>
        <v>-3.3581117109245516E-2</v>
      </c>
      <c r="R220" s="20">
        <f t="shared" si="13"/>
        <v>-2.556252748424746E-2</v>
      </c>
    </row>
    <row r="221" spans="1:18" ht="17.399999999999999" x14ac:dyDescent="0.4">
      <c r="A221" s="12" t="s">
        <v>249</v>
      </c>
      <c r="B221" s="13">
        <v>198664622740</v>
      </c>
      <c r="C221" s="13">
        <v>201179912703</v>
      </c>
      <c r="D221" s="13">
        <v>2515289963</v>
      </c>
      <c r="E221" s="13">
        <v>5096839</v>
      </c>
      <c r="F221" s="13">
        <v>3360504</v>
      </c>
      <c r="G221" s="13">
        <v>59866</v>
      </c>
      <c r="H221" s="13">
        <v>39472</v>
      </c>
      <c r="I221" s="14" t="s">
        <v>41</v>
      </c>
      <c r="J221" s="14" t="s">
        <v>24</v>
      </c>
      <c r="K221" s="16" t="s">
        <v>182</v>
      </c>
      <c r="L221" s="16" t="s">
        <v>250</v>
      </c>
      <c r="M221" s="16" t="s">
        <v>251</v>
      </c>
      <c r="N221" s="15" t="s">
        <v>252</v>
      </c>
      <c r="O221" s="15" t="s">
        <v>253</v>
      </c>
      <c r="P221" s="20">
        <f t="shared" si="11"/>
        <v>0.12527212734693449</v>
      </c>
      <c r="Q221" s="20">
        <f t="shared" si="12"/>
        <v>8.4524514496637698E-2</v>
      </c>
      <c r="R221" s="20">
        <f t="shared" si="13"/>
        <v>-1.4126678043581387E-2</v>
      </c>
    </row>
    <row r="222" spans="1:18" ht="17.399999999999999" x14ac:dyDescent="0.4">
      <c r="A222" s="12" t="s">
        <v>254</v>
      </c>
      <c r="B222" s="13">
        <v>213432814532</v>
      </c>
      <c r="C222" s="13">
        <v>216457658274</v>
      </c>
      <c r="D222" s="13">
        <v>3024843742</v>
      </c>
      <c r="E222" s="13">
        <v>7128185</v>
      </c>
      <c r="F222" s="13">
        <v>3952529</v>
      </c>
      <c r="G222" s="13">
        <v>54764</v>
      </c>
      <c r="H222" s="13">
        <v>30366</v>
      </c>
      <c r="I222" s="14" t="s">
        <v>73</v>
      </c>
      <c r="J222" s="14" t="s">
        <v>24</v>
      </c>
      <c r="K222" s="15" t="s">
        <v>255</v>
      </c>
      <c r="L222" s="15" t="s">
        <v>256</v>
      </c>
      <c r="M222" s="15" t="s">
        <v>257</v>
      </c>
      <c r="N222" s="15" t="s">
        <v>258</v>
      </c>
      <c r="O222" s="15" t="s">
        <v>259</v>
      </c>
      <c r="P222" s="20">
        <f t="shared" si="11"/>
        <v>0.19144529000343666</v>
      </c>
      <c r="Q222" s="20">
        <f t="shared" si="12"/>
        <v>0.15220382357514653</v>
      </c>
      <c r="R222" s="20">
        <f t="shared" si="13"/>
        <v>1.4756414035037272E-2</v>
      </c>
    </row>
    <row r="223" spans="1:18" ht="17.399999999999999" x14ac:dyDescent="0.4">
      <c r="A223" s="12" t="s">
        <v>260</v>
      </c>
      <c r="B223" s="13">
        <v>200521639800</v>
      </c>
      <c r="C223" s="13">
        <v>203907052598</v>
      </c>
      <c r="D223" s="13">
        <v>3385412799</v>
      </c>
      <c r="E223" s="13">
        <v>6705900</v>
      </c>
      <c r="F223" s="13">
        <v>3807967</v>
      </c>
      <c r="G223" s="13">
        <v>53547</v>
      </c>
      <c r="H223" s="13">
        <v>30407</v>
      </c>
      <c r="I223" s="14" t="s">
        <v>73</v>
      </c>
      <c r="J223" s="14" t="s">
        <v>24</v>
      </c>
      <c r="K223" s="16" t="s">
        <v>261</v>
      </c>
      <c r="L223" s="16" t="s">
        <v>89</v>
      </c>
      <c r="M223" s="15" t="s">
        <v>262</v>
      </c>
      <c r="N223" s="16" t="s">
        <v>90</v>
      </c>
      <c r="O223" s="16" t="s">
        <v>241</v>
      </c>
      <c r="P223" s="20">
        <f t="shared" si="11"/>
        <v>0.12902351815423138</v>
      </c>
      <c r="Q223" s="20">
        <f t="shared" si="12"/>
        <v>0.12975399602103671</v>
      </c>
      <c r="R223" s="20">
        <f t="shared" si="13"/>
        <v>-1.7681544504539268E-3</v>
      </c>
    </row>
    <row r="224" spans="1:18" ht="17.399999999999999" x14ac:dyDescent="0.4">
      <c r="A224" s="12" t="s">
        <v>263</v>
      </c>
      <c r="B224" s="13">
        <v>202911293777</v>
      </c>
      <c r="C224" s="13">
        <v>206317643954</v>
      </c>
      <c r="D224" s="13">
        <v>3406350177</v>
      </c>
      <c r="E224" s="13">
        <v>6558797</v>
      </c>
      <c r="F224" s="13">
        <v>3697117</v>
      </c>
      <c r="G224" s="13">
        <v>55805</v>
      </c>
      <c r="H224" s="13">
        <v>31457</v>
      </c>
      <c r="I224" s="14" t="s">
        <v>73</v>
      </c>
      <c r="J224" s="14" t="s">
        <v>24</v>
      </c>
      <c r="K224" s="15" t="s">
        <v>82</v>
      </c>
      <c r="L224" s="15" t="s">
        <v>82</v>
      </c>
      <c r="M224" s="15" t="s">
        <v>201</v>
      </c>
      <c r="N224" s="16" t="s">
        <v>160</v>
      </c>
      <c r="O224" s="16" t="s">
        <v>205</v>
      </c>
      <c r="P224" s="20">
        <f t="shared" si="11"/>
        <v>0.43750455446532444</v>
      </c>
      <c r="Q224" s="20">
        <f t="shared" si="12"/>
        <v>0.16511396229525496</v>
      </c>
      <c r="R224" s="20">
        <f t="shared" si="13"/>
        <v>2.029345548134415E-2</v>
      </c>
    </row>
    <row r="225" spans="1:18" ht="17.399999999999999" x14ac:dyDescent="0.4">
      <c r="A225" s="12" t="s">
        <v>264</v>
      </c>
      <c r="B225" s="13">
        <v>193359955304</v>
      </c>
      <c r="C225" s="13">
        <v>196521532878</v>
      </c>
      <c r="D225" s="13">
        <v>3161577574</v>
      </c>
      <c r="E225" s="13">
        <v>6447850</v>
      </c>
      <c r="F225" s="13">
        <v>3684150</v>
      </c>
      <c r="G225" s="13">
        <v>53342</v>
      </c>
      <c r="H225" s="13">
        <v>30479</v>
      </c>
      <c r="I225" s="14" t="s">
        <v>73</v>
      </c>
      <c r="J225" s="14" t="s">
        <v>24</v>
      </c>
      <c r="K225" s="16" t="s">
        <v>265</v>
      </c>
      <c r="L225" s="16" t="s">
        <v>265</v>
      </c>
      <c r="M225" s="16" t="s">
        <v>266</v>
      </c>
      <c r="N225" s="16" t="s">
        <v>97</v>
      </c>
      <c r="O225" s="16" t="s">
        <v>267</v>
      </c>
      <c r="P225" s="20">
        <f t="shared" si="11"/>
        <v>9.1243009305174413E-2</v>
      </c>
      <c r="Q225" s="20">
        <f t="shared" si="12"/>
        <v>0.16012739387547162</v>
      </c>
      <c r="R225" s="20">
        <f t="shared" si="13"/>
        <v>2.0212906773948967E-2</v>
      </c>
    </row>
    <row r="226" spans="1:18" ht="17.399999999999999" x14ac:dyDescent="0.4">
      <c r="A226" s="12" t="s">
        <v>268</v>
      </c>
      <c r="B226" s="13">
        <v>182942179775</v>
      </c>
      <c r="C226" s="13">
        <v>185891845269</v>
      </c>
      <c r="D226" s="13">
        <v>2949665495</v>
      </c>
      <c r="E226" s="13">
        <v>5921084</v>
      </c>
      <c r="F226" s="13">
        <v>3474601</v>
      </c>
      <c r="G226" s="13">
        <v>53500</v>
      </c>
      <c r="H226" s="13">
        <v>31395</v>
      </c>
      <c r="I226" s="14" t="s">
        <v>48</v>
      </c>
      <c r="J226" s="14" t="s">
        <v>24</v>
      </c>
      <c r="K226" s="16" t="s">
        <v>269</v>
      </c>
      <c r="L226" s="16" t="s">
        <v>269</v>
      </c>
      <c r="M226" s="16" t="s">
        <v>65</v>
      </c>
      <c r="N226" s="16" t="s">
        <v>171</v>
      </c>
      <c r="O226" s="16" t="s">
        <v>270</v>
      </c>
      <c r="P226" s="20">
        <f t="shared" si="11"/>
        <v>8.1828021246827365E-2</v>
      </c>
      <c r="Q226" s="20">
        <f t="shared" si="12"/>
        <v>0.21101238667500313</v>
      </c>
      <c r="R226" s="20">
        <f t="shared" si="13"/>
        <v>7.4876282227176669E-2</v>
      </c>
    </row>
    <row r="227" spans="1:18" ht="17.399999999999999" x14ac:dyDescent="0.4">
      <c r="A227" s="12" t="s">
        <v>271</v>
      </c>
      <c r="B227" s="13">
        <v>182532353471</v>
      </c>
      <c r="C227" s="13">
        <v>185344094303</v>
      </c>
      <c r="D227" s="13">
        <v>2811740832</v>
      </c>
      <c r="E227" s="13">
        <v>4915983</v>
      </c>
      <c r="F227" s="13">
        <v>3235836</v>
      </c>
      <c r="G227" s="13">
        <v>57279</v>
      </c>
      <c r="H227" s="13">
        <v>37702</v>
      </c>
      <c r="I227" s="14" t="s">
        <v>41</v>
      </c>
      <c r="J227" s="14" t="s">
        <v>24</v>
      </c>
      <c r="K227" s="16" t="s">
        <v>87</v>
      </c>
      <c r="L227" s="16" t="s">
        <v>238</v>
      </c>
      <c r="M227" s="16" t="s">
        <v>265</v>
      </c>
      <c r="N227" s="16" t="s">
        <v>272</v>
      </c>
      <c r="O227" s="16" t="s">
        <v>127</v>
      </c>
      <c r="P227" s="20">
        <f t="shared" si="11"/>
        <v>-0.10356601937732228</v>
      </c>
      <c r="Q227" s="20">
        <f t="shared" si="12"/>
        <v>0.12921285598121954</v>
      </c>
      <c r="R227" s="20">
        <f t="shared" si="13"/>
        <v>1.4788564547085315E-2</v>
      </c>
    </row>
    <row r="228" spans="1:18" ht="17.399999999999999" x14ac:dyDescent="0.4">
      <c r="A228" s="12" t="s">
        <v>273</v>
      </c>
      <c r="B228" s="13">
        <v>193161567780</v>
      </c>
      <c r="C228" s="13">
        <v>195629136878</v>
      </c>
      <c r="D228" s="13">
        <v>2467569098</v>
      </c>
      <c r="E228" s="13">
        <v>5180352</v>
      </c>
      <c r="F228" s="13">
        <v>3398154</v>
      </c>
      <c r="G228" s="13">
        <v>57569</v>
      </c>
      <c r="H228" s="13">
        <v>37764</v>
      </c>
      <c r="I228" s="14" t="s">
        <v>41</v>
      </c>
      <c r="J228" s="14" t="s">
        <v>24</v>
      </c>
      <c r="K228" s="15" t="s">
        <v>274</v>
      </c>
      <c r="L228" s="15" t="s">
        <v>174</v>
      </c>
      <c r="M228" s="16" t="s">
        <v>275</v>
      </c>
      <c r="N228" s="15" t="s">
        <v>253</v>
      </c>
      <c r="O228" s="15" t="s">
        <v>199</v>
      </c>
      <c r="P228" s="20">
        <f t="shared" si="11"/>
        <v>-2.7700226059886156E-2</v>
      </c>
      <c r="Q228" s="20">
        <f t="shared" si="12"/>
        <v>1.6385253683704745E-2</v>
      </c>
      <c r="R228" s="20">
        <f t="shared" si="13"/>
        <v>1.1203676591368438E-2</v>
      </c>
    </row>
    <row r="229" spans="1:18" ht="17.399999999999999" x14ac:dyDescent="0.4">
      <c r="A229" s="12" t="s">
        <v>276</v>
      </c>
      <c r="B229" s="13">
        <v>214274952472</v>
      </c>
      <c r="C229" s="13">
        <v>217223987138</v>
      </c>
      <c r="D229" s="13">
        <v>2949034666</v>
      </c>
      <c r="E229" s="13">
        <v>7091008</v>
      </c>
      <c r="F229" s="13">
        <v>3832362</v>
      </c>
      <c r="G229" s="13">
        <v>56681</v>
      </c>
      <c r="H229" s="13">
        <v>30634</v>
      </c>
      <c r="I229" s="14" t="s">
        <v>277</v>
      </c>
      <c r="J229" s="14" t="s">
        <v>24</v>
      </c>
      <c r="K229" s="15" t="s">
        <v>278</v>
      </c>
      <c r="L229" s="15" t="s">
        <v>279</v>
      </c>
      <c r="M229" s="15" t="s">
        <v>280</v>
      </c>
      <c r="N229" s="15" t="s">
        <v>281</v>
      </c>
      <c r="O229" s="15" t="s">
        <v>197</v>
      </c>
      <c r="P229" s="20">
        <f t="shared" si="11"/>
        <v>3.9456816509053638E-3</v>
      </c>
      <c r="Q229" s="20">
        <f t="shared" si="12"/>
        <v>-5.215493144468052E-3</v>
      </c>
      <c r="R229" s="20">
        <f t="shared" si="13"/>
        <v>-3.0402559981217089E-2</v>
      </c>
    </row>
    <row r="230" spans="1:18" ht="17.399999999999999" x14ac:dyDescent="0.4">
      <c r="A230" s="12" t="s">
        <v>282</v>
      </c>
      <c r="B230" s="13">
        <v>216608726050</v>
      </c>
      <c r="C230" s="13">
        <v>219877493444</v>
      </c>
      <c r="D230" s="13">
        <v>3268767395</v>
      </c>
      <c r="E230" s="13">
        <v>7119445</v>
      </c>
      <c r="F230" s="13">
        <v>3947537</v>
      </c>
      <c r="G230" s="13">
        <v>55700</v>
      </c>
      <c r="H230" s="13">
        <v>30884</v>
      </c>
      <c r="I230" s="14" t="s">
        <v>73</v>
      </c>
      <c r="J230" s="14" t="s">
        <v>24</v>
      </c>
      <c r="K230" s="15" t="s">
        <v>283</v>
      </c>
      <c r="L230" s="15" t="s">
        <v>82</v>
      </c>
      <c r="M230" s="15" t="s">
        <v>284</v>
      </c>
      <c r="N230" s="15" t="s">
        <v>285</v>
      </c>
      <c r="O230" s="15" t="s">
        <v>286</v>
      </c>
      <c r="P230" s="20">
        <f t="shared" si="11"/>
        <v>8.0226185393482904E-2</v>
      </c>
      <c r="Q230" s="20">
        <f t="shared" si="12"/>
        <v>6.1668828941678223E-2</v>
      </c>
      <c r="R230" s="20">
        <f t="shared" si="13"/>
        <v>3.6652103340181257E-2</v>
      </c>
    </row>
    <row r="231" spans="1:18" ht="17.399999999999999" x14ac:dyDescent="0.4">
      <c r="A231" s="12" t="s">
        <v>287</v>
      </c>
      <c r="B231" s="13">
        <v>217383950238</v>
      </c>
      <c r="C231" s="13">
        <v>220732572183</v>
      </c>
      <c r="D231" s="13">
        <v>3348621945</v>
      </c>
      <c r="E231" s="13">
        <v>6813726</v>
      </c>
      <c r="F231" s="13">
        <v>3858459</v>
      </c>
      <c r="G231" s="13">
        <v>57207</v>
      </c>
      <c r="H231" s="13">
        <v>32395</v>
      </c>
      <c r="I231" s="14" t="s">
        <v>73</v>
      </c>
      <c r="J231" s="14" t="s">
        <v>24</v>
      </c>
      <c r="K231" s="15" t="s">
        <v>285</v>
      </c>
      <c r="L231" s="15" t="s">
        <v>285</v>
      </c>
      <c r="M231" s="15" t="s">
        <v>288</v>
      </c>
      <c r="N231" s="16" t="s">
        <v>289</v>
      </c>
      <c r="O231" s="16" t="s">
        <v>92</v>
      </c>
      <c r="P231" s="20">
        <f t="shared" si="11"/>
        <v>7.1325041556856289E-2</v>
      </c>
      <c r="Q231" s="20">
        <f t="shared" si="12"/>
        <v>3.8868255870703118E-2</v>
      </c>
      <c r="R231" s="20">
        <f t="shared" si="13"/>
        <v>4.3639949722986855E-2</v>
      </c>
    </row>
    <row r="232" spans="1:18" ht="17.399999999999999" x14ac:dyDescent="0.4">
      <c r="A232" s="12" t="s">
        <v>290</v>
      </c>
      <c r="B232" s="13">
        <v>195356302847</v>
      </c>
      <c r="C232" s="13">
        <v>198505771294</v>
      </c>
      <c r="D232" s="13">
        <v>3149468447</v>
      </c>
      <c r="E232" s="13">
        <v>6472720</v>
      </c>
      <c r="F232" s="13">
        <v>3766303</v>
      </c>
      <c r="G232" s="13">
        <v>52706</v>
      </c>
      <c r="H232" s="13">
        <v>30668</v>
      </c>
      <c r="I232" s="14" t="s">
        <v>48</v>
      </c>
      <c r="J232" s="14" t="s">
        <v>24</v>
      </c>
      <c r="K232" s="16" t="s">
        <v>291</v>
      </c>
      <c r="L232" s="16" t="s">
        <v>291</v>
      </c>
      <c r="M232" s="16" t="s">
        <v>90</v>
      </c>
      <c r="N232" s="16" t="s">
        <v>236</v>
      </c>
      <c r="O232" s="16" t="s">
        <v>182</v>
      </c>
      <c r="P232" s="20">
        <f t="shared" si="11"/>
        <v>1.0324513883246135E-2</v>
      </c>
      <c r="Q232" s="20">
        <f t="shared" si="12"/>
        <v>3.8570996533728299E-3</v>
      </c>
      <c r="R232" s="20">
        <f t="shared" si="13"/>
        <v>2.2299037769906219E-2</v>
      </c>
    </row>
    <row r="233" spans="1:18" ht="17.399999999999999" x14ac:dyDescent="0.4">
      <c r="A233" s="12" t="s">
        <v>292</v>
      </c>
      <c r="B233" s="13">
        <v>174694192656</v>
      </c>
      <c r="C233" s="13">
        <v>177611921112</v>
      </c>
      <c r="D233" s="13">
        <v>2917728455</v>
      </c>
      <c r="E233" s="13">
        <v>5643955</v>
      </c>
      <c r="F233" s="13">
        <v>3443592</v>
      </c>
      <c r="G233" s="13">
        <v>51578</v>
      </c>
      <c r="H233" s="13">
        <v>31469</v>
      </c>
      <c r="I233" s="14" t="s">
        <v>95</v>
      </c>
      <c r="J233" s="14" t="s">
        <v>24</v>
      </c>
      <c r="K233" s="16" t="s">
        <v>293</v>
      </c>
      <c r="L233" s="16" t="s">
        <v>243</v>
      </c>
      <c r="M233" s="16" t="s">
        <v>294</v>
      </c>
      <c r="N233" s="16" t="s">
        <v>190</v>
      </c>
      <c r="O233" s="16" t="s">
        <v>33</v>
      </c>
      <c r="P233" s="20">
        <f t="shared" si="11"/>
        <v>-4.5085212875150896E-2</v>
      </c>
      <c r="Q233" s="20">
        <f t="shared" si="12"/>
        <v>-4.6803760932964303E-2</v>
      </c>
      <c r="R233" s="20">
        <f t="shared" si="13"/>
        <v>-8.9244779472520738E-3</v>
      </c>
    </row>
    <row r="234" spans="1:18" ht="17.399999999999999" x14ac:dyDescent="0.4">
      <c r="A234" s="12" t="s">
        <v>295</v>
      </c>
      <c r="B234" s="13">
        <v>165849400402</v>
      </c>
      <c r="C234" s="13">
        <v>168712424899</v>
      </c>
      <c r="D234" s="13">
        <v>2863024497</v>
      </c>
      <c r="E234" s="13">
        <v>4535976</v>
      </c>
      <c r="F234" s="13">
        <v>3077070</v>
      </c>
      <c r="G234" s="13">
        <v>54829</v>
      </c>
      <c r="H234" s="13">
        <v>37194</v>
      </c>
      <c r="I234" s="14" t="s">
        <v>41</v>
      </c>
      <c r="J234" s="14" t="s">
        <v>24</v>
      </c>
      <c r="K234" s="16" t="s">
        <v>122</v>
      </c>
      <c r="L234" s="16" t="s">
        <v>236</v>
      </c>
      <c r="M234" s="16" t="s">
        <v>86</v>
      </c>
      <c r="N234" s="16" t="s">
        <v>296</v>
      </c>
      <c r="O234" s="16" t="s">
        <v>293</v>
      </c>
      <c r="P234" s="20">
        <f t="shared" si="11"/>
        <v>-9.1397238636111267E-2</v>
      </c>
      <c r="Q234" s="20">
        <f t="shared" si="12"/>
        <v>-7.7300307995369397E-2</v>
      </c>
      <c r="R234" s="20">
        <f t="shared" si="13"/>
        <v>-4.9064909346456374E-2</v>
      </c>
    </row>
    <row r="235" spans="1:18" ht="17.399999999999999" x14ac:dyDescent="0.4">
      <c r="A235" s="6" t="s">
        <v>22</v>
      </c>
      <c r="B235" s="4">
        <v>142443791724</v>
      </c>
      <c r="C235" s="4">
        <v>144889459180</v>
      </c>
      <c r="D235" s="4">
        <v>2445667456</v>
      </c>
      <c r="E235" s="4">
        <v>4091593</v>
      </c>
      <c r="F235" s="4">
        <v>2826596</v>
      </c>
      <c r="G235" s="4">
        <v>51259</v>
      </c>
      <c r="H235" s="4">
        <v>35412</v>
      </c>
      <c r="I235" s="5" t="s">
        <v>23</v>
      </c>
      <c r="J235" s="5" t="s">
        <v>24</v>
      </c>
      <c r="K235" s="7" t="s">
        <v>25</v>
      </c>
      <c r="L235" s="7" t="s">
        <v>25</v>
      </c>
      <c r="M235" s="7" t="s">
        <v>26</v>
      </c>
      <c r="N235" s="7" t="s">
        <v>27</v>
      </c>
      <c r="O235" s="7" t="s">
        <v>28</v>
      </c>
      <c r="P235" s="20">
        <f t="shared" si="11"/>
        <v>-0.26256659975841906</v>
      </c>
      <c r="Q235" s="20">
        <f t="shared" si="12"/>
        <v>-0.21017085325475951</v>
      </c>
      <c r="R235" s="20">
        <f t="shared" si="13"/>
        <v>-0.16819661498566574</v>
      </c>
    </row>
    <row r="236" spans="1:18" ht="17.399999999999999" x14ac:dyDescent="0.4">
      <c r="A236" s="6" t="s">
        <v>29</v>
      </c>
      <c r="B236" s="4">
        <v>99241206364</v>
      </c>
      <c r="C236" s="4">
        <v>100951994981</v>
      </c>
      <c r="D236" s="4">
        <v>1710788617</v>
      </c>
      <c r="E236" s="4">
        <v>3667414</v>
      </c>
      <c r="F236" s="4">
        <v>2582407</v>
      </c>
      <c r="G236" s="4">
        <v>39092</v>
      </c>
      <c r="H236" s="4">
        <v>27527</v>
      </c>
      <c r="I236" s="5" t="s">
        <v>23</v>
      </c>
      <c r="J236" s="5" t="s">
        <v>24</v>
      </c>
      <c r="K236" s="7" t="s">
        <v>30</v>
      </c>
      <c r="L236" s="7" t="s">
        <v>30</v>
      </c>
      <c r="M236" s="7" t="s">
        <v>31</v>
      </c>
      <c r="N236" s="7" t="s">
        <v>32</v>
      </c>
      <c r="O236" s="7" t="s">
        <v>33</v>
      </c>
      <c r="P236" s="20">
        <f t="shared" si="11"/>
        <v>-0.53685111013165121</v>
      </c>
      <c r="Q236" s="20">
        <f t="shared" si="12"/>
        <v>-0.48280780391165828</v>
      </c>
      <c r="R236" s="20">
        <f t="shared" si="13"/>
        <v>-0.3261578629576225</v>
      </c>
    </row>
    <row r="237" spans="1:18" ht="17.399999999999999" x14ac:dyDescent="0.4">
      <c r="A237" s="6" t="s">
        <v>34</v>
      </c>
      <c r="B237" s="4">
        <v>108835001550</v>
      </c>
      <c r="C237" s="4">
        <v>110455304603</v>
      </c>
      <c r="D237" s="4">
        <v>1620303053</v>
      </c>
      <c r="E237" s="4">
        <v>3832939</v>
      </c>
      <c r="F237" s="4">
        <v>2696257</v>
      </c>
      <c r="G237" s="4">
        <v>40966</v>
      </c>
      <c r="H237" s="4">
        <v>28817</v>
      </c>
      <c r="I237" s="5" t="s">
        <v>23</v>
      </c>
      <c r="J237" s="5" t="s">
        <v>24</v>
      </c>
      <c r="K237" s="8" t="s">
        <v>35</v>
      </c>
      <c r="L237" s="8" t="s">
        <v>36</v>
      </c>
      <c r="M237" s="7" t="s">
        <v>37</v>
      </c>
      <c r="N237" s="8" t="s">
        <v>38</v>
      </c>
      <c r="O237" s="8" t="s">
        <v>39</v>
      </c>
      <c r="P237" s="20">
        <f t="shared" si="11"/>
        <v>-0.49755024400597087</v>
      </c>
      <c r="Q237" s="20">
        <f t="shared" si="12"/>
        <v>-0.46162390467234454</v>
      </c>
      <c r="R237" s="20">
        <f t="shared" si="13"/>
        <v>-0.31697739628532928</v>
      </c>
    </row>
    <row r="238" spans="1:18" ht="17.399999999999999" x14ac:dyDescent="0.4">
      <c r="A238" s="6" t="s">
        <v>40</v>
      </c>
      <c r="B238" s="4">
        <v>147817647882</v>
      </c>
      <c r="C238" s="4">
        <v>149474632967</v>
      </c>
      <c r="D238" s="4">
        <v>1656985085</v>
      </c>
      <c r="E238" s="4">
        <v>4810542</v>
      </c>
      <c r="F238" s="4">
        <v>3247796</v>
      </c>
      <c r="G238" s="4">
        <v>46023</v>
      </c>
      <c r="H238" s="4">
        <v>31072</v>
      </c>
      <c r="I238" s="5" t="s">
        <v>41</v>
      </c>
      <c r="J238" s="5" t="s">
        <v>24</v>
      </c>
      <c r="K238" s="8" t="s">
        <v>42</v>
      </c>
      <c r="L238" s="8" t="s">
        <v>43</v>
      </c>
      <c r="M238" s="8" t="s">
        <v>44</v>
      </c>
      <c r="N238" s="8" t="s">
        <v>45</v>
      </c>
      <c r="O238" s="8" t="s">
        <v>46</v>
      </c>
      <c r="P238" s="20">
        <f t="shared" si="11"/>
        <v>-0.32001581662232303</v>
      </c>
      <c r="Q238" s="20">
        <f t="shared" si="12"/>
        <v>-0.29399244994588863</v>
      </c>
      <c r="R238" s="20">
        <f t="shared" si="13"/>
        <v>-0.15826603314950347</v>
      </c>
    </row>
    <row r="239" spans="1:18" ht="17.399999999999999" x14ac:dyDescent="0.4">
      <c r="A239" s="6" t="s">
        <v>47</v>
      </c>
      <c r="B239" s="4">
        <v>190907638774</v>
      </c>
      <c r="C239" s="4">
        <v>193414220687</v>
      </c>
      <c r="D239" s="4">
        <v>2506581913</v>
      </c>
      <c r="E239" s="4">
        <v>6266929</v>
      </c>
      <c r="F239" s="4">
        <v>3654842</v>
      </c>
      <c r="G239" s="4">
        <v>52920</v>
      </c>
      <c r="H239" s="4">
        <v>30863</v>
      </c>
      <c r="I239" s="5" t="s">
        <v>48</v>
      </c>
      <c r="J239" s="5" t="s">
        <v>24</v>
      </c>
      <c r="K239" s="8" t="s">
        <v>49</v>
      </c>
      <c r="L239" s="8" t="s">
        <v>50</v>
      </c>
      <c r="M239" s="8" t="s">
        <v>51</v>
      </c>
      <c r="N239" s="8" t="s">
        <v>52</v>
      </c>
      <c r="O239" s="8" t="s">
        <v>53</v>
      </c>
      <c r="P239" s="20">
        <f t="shared" si="11"/>
        <v>-2.2772052952313108E-2</v>
      </c>
      <c r="Q239" s="20">
        <f t="shared" si="12"/>
        <v>-3.1793589093920327E-2</v>
      </c>
      <c r="R239" s="20">
        <f t="shared" si="13"/>
        <v>-2.9594273216998208E-2</v>
      </c>
    </row>
    <row r="240" spans="1:18" ht="17.399999999999999" x14ac:dyDescent="0.4">
      <c r="A240" s="6" t="s">
        <v>54</v>
      </c>
      <c r="B240" s="4">
        <v>174723684790</v>
      </c>
      <c r="C240" s="4">
        <v>177951493121</v>
      </c>
      <c r="D240" s="4">
        <v>3227808331</v>
      </c>
      <c r="E240" s="4">
        <v>5866333</v>
      </c>
      <c r="F240" s="4">
        <v>3513952</v>
      </c>
      <c r="G240" s="4">
        <v>50641</v>
      </c>
      <c r="H240" s="4">
        <v>30334</v>
      </c>
      <c r="I240" s="5" t="s">
        <v>48</v>
      </c>
      <c r="J240" s="5" t="s">
        <v>24</v>
      </c>
      <c r="K240" s="7" t="s">
        <v>55</v>
      </c>
      <c r="L240" s="7" t="s">
        <v>56</v>
      </c>
      <c r="M240" s="8" t="s">
        <v>57</v>
      </c>
      <c r="N240" s="7" t="s">
        <v>58</v>
      </c>
      <c r="O240" s="7" t="s">
        <v>59</v>
      </c>
      <c r="P240" s="20">
        <f t="shared" si="11"/>
        <v>1.6882149058082655E-4</v>
      </c>
      <c r="Q240" s="20">
        <f t="shared" si="12"/>
        <v>3.9401093736573023E-2</v>
      </c>
      <c r="R240" s="20">
        <f t="shared" si="13"/>
        <v>2.0432153402609832E-2</v>
      </c>
    </row>
    <row r="241" spans="1:18" ht="17.399999999999999" x14ac:dyDescent="0.4">
      <c r="A241" s="6" t="s">
        <v>60</v>
      </c>
      <c r="B241" s="4">
        <v>175313885248</v>
      </c>
      <c r="C241" s="4">
        <v>178143193382</v>
      </c>
      <c r="D241" s="4">
        <v>2829308134</v>
      </c>
      <c r="E241" s="4">
        <v>4856979</v>
      </c>
      <c r="F241" s="4">
        <v>3280224</v>
      </c>
      <c r="G241" s="4">
        <v>54308</v>
      </c>
      <c r="H241" s="4">
        <v>36678</v>
      </c>
      <c r="I241" s="5" t="s">
        <v>41</v>
      </c>
      <c r="J241" s="5" t="s">
        <v>24</v>
      </c>
      <c r="K241" s="8" t="s">
        <v>61</v>
      </c>
      <c r="L241" s="8" t="s">
        <v>62</v>
      </c>
      <c r="M241" s="7" t="s">
        <v>63</v>
      </c>
      <c r="N241" s="7" t="s">
        <v>64</v>
      </c>
      <c r="O241" s="7" t="s">
        <v>65</v>
      </c>
      <c r="P241" s="20">
        <f t="shared" si="11"/>
        <v>5.7066741411540653E-2</v>
      </c>
      <c r="Q241" s="20">
        <f t="shared" si="12"/>
        <v>7.076823157794486E-2</v>
      </c>
      <c r="R241" s="20">
        <f t="shared" si="13"/>
        <v>6.6021897454396558E-2</v>
      </c>
    </row>
    <row r="242" spans="1:18" ht="17.399999999999999" x14ac:dyDescent="0.4">
      <c r="A242" s="6" t="s">
        <v>66</v>
      </c>
      <c r="B242" s="4">
        <v>181182852980</v>
      </c>
      <c r="C242" s="4">
        <v>183638392308</v>
      </c>
      <c r="D242" s="4">
        <v>2455539328</v>
      </c>
      <c r="E242" s="4">
        <v>5079816</v>
      </c>
      <c r="F242" s="4">
        <v>3413840</v>
      </c>
      <c r="G242" s="4">
        <v>53792</v>
      </c>
      <c r="H242" s="4">
        <v>36151</v>
      </c>
      <c r="I242" s="5" t="s">
        <v>41</v>
      </c>
      <c r="J242" s="5" t="s">
        <v>24</v>
      </c>
      <c r="K242" s="8" t="s">
        <v>67</v>
      </c>
      <c r="L242" s="8" t="s">
        <v>68</v>
      </c>
      <c r="M242" s="7" t="s">
        <v>69</v>
      </c>
      <c r="N242" s="8" t="s">
        <v>70</v>
      </c>
      <c r="O242" s="8" t="s">
        <v>71</v>
      </c>
      <c r="P242" s="20">
        <f t="shared" si="11"/>
        <v>0.27196033457927776</v>
      </c>
      <c r="Q242" s="20">
        <f t="shared" si="12"/>
        <v>0.24152524456855801</v>
      </c>
      <c r="R242" s="20">
        <f t="shared" si="13"/>
        <v>0.20775660900956486</v>
      </c>
    </row>
    <row r="243" spans="1:18" ht="17.399999999999999" x14ac:dyDescent="0.4">
      <c r="A243" s="6" t="s">
        <v>72</v>
      </c>
      <c r="B243" s="4">
        <v>188525725788</v>
      </c>
      <c r="C243" s="4">
        <v>191142050331</v>
      </c>
      <c r="D243" s="4">
        <v>2616324543</v>
      </c>
      <c r="E243" s="4">
        <v>6585479</v>
      </c>
      <c r="F243" s="4">
        <v>3688152</v>
      </c>
      <c r="G243" s="4">
        <v>51826</v>
      </c>
      <c r="H243" s="4">
        <v>29025</v>
      </c>
      <c r="I243" s="5" t="s">
        <v>73</v>
      </c>
      <c r="J243" s="5" t="s">
        <v>24</v>
      </c>
      <c r="K243" s="8" t="s">
        <v>71</v>
      </c>
      <c r="L243" s="8" t="s">
        <v>71</v>
      </c>
      <c r="M243" s="8" t="s">
        <v>74</v>
      </c>
      <c r="N243" s="8" t="s">
        <v>75</v>
      </c>
      <c r="O243" s="8" t="s">
        <v>76</v>
      </c>
      <c r="P243" s="20">
        <f t="shared" si="11"/>
        <v>0.89967184695961322</v>
      </c>
      <c r="Q243" s="20">
        <f t="shared" si="12"/>
        <v>0.7956737363166525</v>
      </c>
      <c r="R243" s="20">
        <f t="shared" si="13"/>
        <v>0.42818386102577943</v>
      </c>
    </row>
    <row r="244" spans="1:18" ht="17.399999999999999" x14ac:dyDescent="0.4">
      <c r="A244" s="6" t="s">
        <v>77</v>
      </c>
      <c r="B244" s="4">
        <v>189495184446</v>
      </c>
      <c r="C244" s="4">
        <v>193043714544</v>
      </c>
      <c r="D244" s="4">
        <v>3548530098</v>
      </c>
      <c r="E244" s="4">
        <v>6580202</v>
      </c>
      <c r="F244" s="4">
        <v>3733759</v>
      </c>
      <c r="G244" s="4">
        <v>51702</v>
      </c>
      <c r="H244" s="4">
        <v>29337</v>
      </c>
      <c r="I244" s="5" t="s">
        <v>73</v>
      </c>
      <c r="J244" s="5" t="s">
        <v>24</v>
      </c>
      <c r="K244" s="8" t="s">
        <v>78</v>
      </c>
      <c r="L244" s="8" t="s">
        <v>79</v>
      </c>
      <c r="M244" s="8" t="s">
        <v>80</v>
      </c>
      <c r="N244" s="7" t="s">
        <v>81</v>
      </c>
      <c r="O244" s="8" t="s">
        <v>82</v>
      </c>
      <c r="P244" s="20">
        <f t="shared" si="11"/>
        <v>0.74112355168152244</v>
      </c>
      <c r="Q244" s="20">
        <f t="shared" si="12"/>
        <v>0.71675103621529068</v>
      </c>
      <c r="R244" s="20">
        <f t="shared" si="13"/>
        <v>0.38479343771754698</v>
      </c>
    </row>
    <row r="245" spans="1:18" ht="17.399999999999999" x14ac:dyDescent="0.4">
      <c r="A245" s="6" t="s">
        <v>83</v>
      </c>
      <c r="B245" s="4">
        <v>198487987394</v>
      </c>
      <c r="C245" s="4">
        <v>201760025353</v>
      </c>
      <c r="D245" s="4">
        <v>3272037958</v>
      </c>
      <c r="E245" s="4">
        <v>6452178</v>
      </c>
      <c r="F245" s="4">
        <v>3726850</v>
      </c>
      <c r="G245" s="4">
        <v>54137</v>
      </c>
      <c r="H245" s="4">
        <v>31270</v>
      </c>
      <c r="I245" s="5" t="s">
        <v>48</v>
      </c>
      <c r="J245" s="5" t="s">
        <v>24</v>
      </c>
      <c r="K245" s="8" t="s">
        <v>84</v>
      </c>
      <c r="L245" s="8" t="s">
        <v>38</v>
      </c>
      <c r="M245" s="7" t="s">
        <v>85</v>
      </c>
      <c r="N245" s="7" t="s">
        <v>86</v>
      </c>
      <c r="O245" s="7" t="s">
        <v>87</v>
      </c>
      <c r="P245" s="20">
        <f t="shared" si="11"/>
        <v>0.34278951287635939</v>
      </c>
      <c r="Q245" s="20">
        <f t="shared" si="12"/>
        <v>0.34125801209094525</v>
      </c>
      <c r="R245" s="20">
        <f t="shared" si="13"/>
        <v>0.14750125931554814</v>
      </c>
    </row>
    <row r="246" spans="1:18" ht="17.399999999999999" x14ac:dyDescent="0.4">
      <c r="A246" s="6" t="s">
        <v>88</v>
      </c>
      <c r="B246" s="4">
        <v>186998755326</v>
      </c>
      <c r="C246" s="4">
        <v>189892334617</v>
      </c>
      <c r="D246" s="4">
        <v>2893579292</v>
      </c>
      <c r="E246" s="4">
        <v>6303173</v>
      </c>
      <c r="F246" s="4">
        <v>3660835</v>
      </c>
      <c r="G246" s="4">
        <v>51871</v>
      </c>
      <c r="H246" s="4">
        <v>30126</v>
      </c>
      <c r="I246" s="5" t="s">
        <v>48</v>
      </c>
      <c r="J246" s="5" t="s">
        <v>24</v>
      </c>
      <c r="K246" s="7" t="s">
        <v>89</v>
      </c>
      <c r="L246" s="7" t="s">
        <v>90</v>
      </c>
      <c r="M246" s="7" t="s">
        <v>91</v>
      </c>
      <c r="N246" s="7" t="s">
        <v>92</v>
      </c>
      <c r="O246" s="7" t="s">
        <v>93</v>
      </c>
      <c r="P246" s="20">
        <f t="shared" si="11"/>
        <v>-2.0475259518700602E-2</v>
      </c>
      <c r="Q246" s="20">
        <f t="shared" si="12"/>
        <v>5.7833749193584288E-3</v>
      </c>
      <c r="R246" s="20">
        <f t="shared" si="13"/>
        <v>1.6397425661629147E-3</v>
      </c>
    </row>
    <row r="247" spans="1:18" ht="17.399999999999999" x14ac:dyDescent="0.4">
      <c r="A247" s="6" t="s">
        <v>94</v>
      </c>
      <c r="B247" s="4">
        <v>183120174412</v>
      </c>
      <c r="C247" s="4">
        <v>186587666159</v>
      </c>
      <c r="D247" s="4">
        <v>3467491746</v>
      </c>
      <c r="E247" s="4">
        <v>5720743</v>
      </c>
      <c r="F247" s="4">
        <v>3471036</v>
      </c>
      <c r="G247" s="4">
        <v>53756</v>
      </c>
      <c r="H247" s="4">
        <v>32616</v>
      </c>
      <c r="I247" s="5" t="s">
        <v>95</v>
      </c>
      <c r="J247" s="5" t="s">
        <v>24</v>
      </c>
      <c r="K247" s="7" t="s">
        <v>96</v>
      </c>
      <c r="L247" s="7" t="s">
        <v>97</v>
      </c>
      <c r="M247" s="8" t="s">
        <v>98</v>
      </c>
      <c r="N247" s="7" t="s">
        <v>99</v>
      </c>
      <c r="O247" s="7" t="s">
        <v>100</v>
      </c>
      <c r="P247" s="20">
        <f t="shared" si="11"/>
        <v>4.8055818145615013E-2</v>
      </c>
      <c r="Q247" s="20">
        <f t="shared" si="12"/>
        <v>-2.4817888790152214E-2</v>
      </c>
      <c r="R247" s="20">
        <f t="shared" si="13"/>
        <v>-1.2213029660052272E-2</v>
      </c>
    </row>
    <row r="248" spans="1:18" ht="17.399999999999999" x14ac:dyDescent="0.4">
      <c r="A248" s="6" t="s">
        <v>101</v>
      </c>
      <c r="B248" s="4">
        <v>191804347936</v>
      </c>
      <c r="C248" s="4">
        <v>194753220713</v>
      </c>
      <c r="D248" s="4">
        <v>2948872777</v>
      </c>
      <c r="E248" s="4">
        <v>5736230</v>
      </c>
      <c r="F248" s="4">
        <v>3943632</v>
      </c>
      <c r="G248" s="4">
        <v>49384</v>
      </c>
      <c r="H248" s="4">
        <v>33951</v>
      </c>
      <c r="I248" s="5" t="s">
        <v>41</v>
      </c>
      <c r="J248" s="5" t="s">
        <v>24</v>
      </c>
      <c r="K248" s="8" t="s">
        <v>84</v>
      </c>
      <c r="L248" s="8" t="s">
        <v>39</v>
      </c>
      <c r="M248" s="7" t="s">
        <v>102</v>
      </c>
      <c r="N248" s="8" t="s">
        <v>61</v>
      </c>
      <c r="O248" s="8" t="s">
        <v>103</v>
      </c>
      <c r="P248" s="20">
        <f t="shared" si="11"/>
        <v>9.4062502035548973E-2</v>
      </c>
      <c r="Q248" s="20">
        <f t="shared" si="12"/>
        <v>0.18102837175124703</v>
      </c>
      <c r="R248" s="20">
        <f t="shared" si="13"/>
        <v>0.20224472475050484</v>
      </c>
    </row>
    <row r="249" spans="1:18" ht="17.399999999999999" x14ac:dyDescent="0.4">
      <c r="A249" s="6" t="s">
        <v>104</v>
      </c>
      <c r="B249" s="4">
        <v>140884291956</v>
      </c>
      <c r="C249" s="4">
        <v>142851772533</v>
      </c>
      <c r="D249" s="4">
        <v>1967480577</v>
      </c>
      <c r="E249" s="4">
        <v>4257001</v>
      </c>
      <c r="F249" s="4">
        <v>3637898</v>
      </c>
      <c r="G249" s="4">
        <v>39268</v>
      </c>
      <c r="H249" s="4">
        <v>33557</v>
      </c>
      <c r="I249" s="5" t="s">
        <v>105</v>
      </c>
      <c r="J249" s="5" t="s">
        <v>24</v>
      </c>
      <c r="K249" s="7" t="s">
        <v>106</v>
      </c>
      <c r="L249" s="7" t="s">
        <v>107</v>
      </c>
      <c r="M249" s="7" t="s">
        <v>108</v>
      </c>
      <c r="N249" s="7" t="s">
        <v>109</v>
      </c>
      <c r="O249" s="7" t="s">
        <v>85</v>
      </c>
      <c r="P249" s="20">
        <f t="shared" si="11"/>
        <v>-0.22241928726251145</v>
      </c>
      <c r="Q249" s="20">
        <f t="shared" si="12"/>
        <v>-0.16197732358809847</v>
      </c>
      <c r="R249" s="20">
        <f t="shared" si="13"/>
        <v>6.5632249900405407E-2</v>
      </c>
    </row>
    <row r="250" spans="1:18" ht="17.399999999999999" x14ac:dyDescent="0.4">
      <c r="A250" s="6" t="s">
        <v>110</v>
      </c>
      <c r="B250" s="4">
        <v>141554914040</v>
      </c>
      <c r="C250" s="4">
        <v>143526401475</v>
      </c>
      <c r="D250" s="4">
        <v>1971487435</v>
      </c>
      <c r="E250" s="4">
        <v>4644789</v>
      </c>
      <c r="F250" s="4">
        <v>3872940</v>
      </c>
      <c r="G250" s="4">
        <v>37059</v>
      </c>
      <c r="H250" s="4">
        <v>30901</v>
      </c>
      <c r="I250" s="5" t="s">
        <v>105</v>
      </c>
      <c r="J250" s="5" t="s">
        <v>24</v>
      </c>
      <c r="K250" s="8" t="s">
        <v>78</v>
      </c>
      <c r="L250" s="8" t="s">
        <v>78</v>
      </c>
      <c r="M250" s="8" t="s">
        <v>111</v>
      </c>
      <c r="N250" s="8" t="s">
        <v>112</v>
      </c>
      <c r="O250" s="8" t="s">
        <v>74</v>
      </c>
      <c r="P250" s="20">
        <f t="shared" si="11"/>
        <v>-0.24914802238087858</v>
      </c>
      <c r="Q250" s="20">
        <f t="shared" si="12"/>
        <v>-0.29469230711995287</v>
      </c>
      <c r="R250" s="20">
        <f t="shared" si="13"/>
        <v>5.0103141085291493E-2</v>
      </c>
    </row>
    <row r="251" spans="1:18" ht="17.399999999999999" x14ac:dyDescent="0.4">
      <c r="A251" s="6" t="s">
        <v>113</v>
      </c>
      <c r="B251" s="4">
        <v>222623988454</v>
      </c>
      <c r="C251" s="4">
        <v>226378639882</v>
      </c>
      <c r="D251" s="4">
        <v>3754651428</v>
      </c>
      <c r="E251" s="4">
        <v>7128646</v>
      </c>
      <c r="F251" s="4">
        <v>4053741</v>
      </c>
      <c r="G251" s="4">
        <v>55844</v>
      </c>
      <c r="H251" s="4">
        <v>31756</v>
      </c>
      <c r="I251" s="5" t="s">
        <v>73</v>
      </c>
      <c r="J251" s="5" t="s">
        <v>24</v>
      </c>
      <c r="K251" s="8" t="s">
        <v>114</v>
      </c>
      <c r="L251" s="8" t="s">
        <v>115</v>
      </c>
      <c r="M251" s="8" t="s">
        <v>116</v>
      </c>
      <c r="N251" s="8" t="s">
        <v>117</v>
      </c>
      <c r="O251" s="8" t="s">
        <v>84</v>
      </c>
      <c r="P251" s="20">
        <f t="shared" si="11"/>
        <v>0.17482662741459079</v>
      </c>
      <c r="Q251" s="20">
        <f t="shared" si="12"/>
        <v>8.3347593280571022E-2</v>
      </c>
      <c r="R251" s="20">
        <f t="shared" si="13"/>
        <v>8.5699692990361717E-2</v>
      </c>
    </row>
    <row r="252" spans="1:18" ht="17.399999999999999" x14ac:dyDescent="0.4">
      <c r="A252" s="6" t="s">
        <v>118</v>
      </c>
      <c r="B252" s="4">
        <v>215027109586</v>
      </c>
      <c r="C252" s="4">
        <v>219233729572</v>
      </c>
      <c r="D252" s="4">
        <v>4206619986</v>
      </c>
      <c r="E252" s="4">
        <v>6761895</v>
      </c>
      <c r="F252" s="4">
        <v>3927361</v>
      </c>
      <c r="G252" s="4">
        <v>55822</v>
      </c>
      <c r="H252" s="4">
        <v>32422</v>
      </c>
      <c r="I252" s="5" t="s">
        <v>48</v>
      </c>
      <c r="J252" s="5" t="s">
        <v>24</v>
      </c>
      <c r="K252" s="7" t="s">
        <v>119</v>
      </c>
      <c r="L252" s="7" t="s">
        <v>120</v>
      </c>
      <c r="M252" s="8" t="s">
        <v>121</v>
      </c>
      <c r="N252" s="7" t="s">
        <v>122</v>
      </c>
      <c r="O252" s="7" t="s">
        <v>123</v>
      </c>
      <c r="P252" s="20">
        <f t="shared" si="11"/>
        <v>8.3325557426151595E-2</v>
      </c>
      <c r="Q252" s="20">
        <f t="shared" si="12"/>
        <v>4.8001930510906551E-2</v>
      </c>
      <c r="R252" s="20">
        <f t="shared" si="13"/>
        <v>5.3801736050552072E-2</v>
      </c>
    </row>
    <row r="253" spans="1:18" ht="17.399999999999999" x14ac:dyDescent="0.4">
      <c r="A253" s="6" t="s">
        <v>124</v>
      </c>
      <c r="B253" s="4">
        <v>222330737670</v>
      </c>
      <c r="C253" s="4">
        <v>226248288615</v>
      </c>
      <c r="D253" s="4">
        <v>3917550945</v>
      </c>
      <c r="E253" s="4">
        <v>6820503</v>
      </c>
      <c r="F253" s="4">
        <v>4017244</v>
      </c>
      <c r="G253" s="4">
        <v>56319</v>
      </c>
      <c r="H253" s="4">
        <v>33172</v>
      </c>
      <c r="I253" s="5" t="s">
        <v>48</v>
      </c>
      <c r="J253" s="5" t="s">
        <v>24</v>
      </c>
      <c r="K253" s="8" t="s">
        <v>125</v>
      </c>
      <c r="L253" s="8" t="s">
        <v>126</v>
      </c>
      <c r="M253" s="7" t="s">
        <v>127</v>
      </c>
      <c r="N253" s="8" t="s">
        <v>128</v>
      </c>
      <c r="O253" s="8" t="s">
        <v>44</v>
      </c>
      <c r="P253" s="20">
        <f t="shared" si="11"/>
        <v>0.18894233965570945</v>
      </c>
      <c r="Q253" s="20">
        <f t="shared" si="12"/>
        <v>8.2074536110622376E-2</v>
      </c>
      <c r="R253" s="20">
        <f t="shared" si="13"/>
        <v>9.735729690084366E-2</v>
      </c>
    </row>
    <row r="254" spans="1:18" ht="17.399999999999999" x14ac:dyDescent="0.4">
      <c r="A254" s="6" t="s">
        <v>129</v>
      </c>
      <c r="B254" s="4">
        <v>190525653907</v>
      </c>
      <c r="C254" s="4">
        <v>193909164088</v>
      </c>
      <c r="D254" s="4">
        <v>3383510181</v>
      </c>
      <c r="E254" s="4">
        <v>6235164</v>
      </c>
      <c r="F254" s="4">
        <v>3698641</v>
      </c>
      <c r="G254" s="4">
        <v>52427</v>
      </c>
      <c r="H254" s="4">
        <v>31099</v>
      </c>
      <c r="I254" s="5" t="s">
        <v>48</v>
      </c>
      <c r="J254" s="5" t="s">
        <v>24</v>
      </c>
      <c r="K254" s="7" t="s">
        <v>130</v>
      </c>
      <c r="L254" s="7" t="s">
        <v>130</v>
      </c>
      <c r="M254" s="7" t="s">
        <v>131</v>
      </c>
      <c r="N254" s="7" t="s">
        <v>33</v>
      </c>
      <c r="O254" s="7" t="s">
        <v>132</v>
      </c>
      <c r="P254" s="20">
        <f t="shared" si="11"/>
        <v>4.0440544133266802E-2</v>
      </c>
      <c r="Q254" s="20">
        <f t="shared" si="12"/>
        <v>8.9922060823218242E-2</v>
      </c>
      <c r="R254" s="20">
        <f t="shared" si="13"/>
        <v>6.5572641712733609E-2</v>
      </c>
    </row>
    <row r="255" spans="1:18" ht="17.399999999999999" x14ac:dyDescent="0.4">
      <c r="A255" s="6" t="s">
        <v>133</v>
      </c>
      <c r="B255" s="4">
        <v>154419412097</v>
      </c>
      <c r="C255" s="4">
        <v>156971933629</v>
      </c>
      <c r="D255" s="4">
        <v>2552521532</v>
      </c>
      <c r="E255" s="4">
        <v>5028136</v>
      </c>
      <c r="F255" s="4">
        <v>3405100</v>
      </c>
      <c r="G255" s="4">
        <v>46099</v>
      </c>
      <c r="H255" s="4">
        <v>31219</v>
      </c>
      <c r="I255" s="5" t="s">
        <v>41</v>
      </c>
      <c r="J255" s="5" t="s">
        <v>24</v>
      </c>
      <c r="K255" s="7" t="s">
        <v>134</v>
      </c>
      <c r="L255" s="7" t="s">
        <v>134</v>
      </c>
      <c r="M255" s="7" t="s">
        <v>135</v>
      </c>
      <c r="N255" s="7" t="s">
        <v>136</v>
      </c>
      <c r="O255" s="7" t="s">
        <v>132</v>
      </c>
      <c r="P255" s="20">
        <f t="shared" si="11"/>
        <v>-0.19491182677190591</v>
      </c>
      <c r="Q255" s="20">
        <f t="shared" si="12"/>
        <v>-0.12344240032216282</v>
      </c>
      <c r="R255" s="20">
        <f t="shared" si="13"/>
        <v>-0.13655736640741326</v>
      </c>
    </row>
    <row r="256" spans="1:18" ht="17.399999999999999" x14ac:dyDescent="0.4">
      <c r="A256" s="6" t="s">
        <v>137</v>
      </c>
      <c r="B256" s="4">
        <v>157387289135</v>
      </c>
      <c r="C256" s="4">
        <v>159565078290</v>
      </c>
      <c r="D256" s="4">
        <v>2177789155</v>
      </c>
      <c r="E256" s="4">
        <v>5167410</v>
      </c>
      <c r="F256" s="4">
        <v>3492452</v>
      </c>
      <c r="G256" s="4">
        <v>45689</v>
      </c>
      <c r="H256" s="4">
        <v>30879</v>
      </c>
      <c r="I256" s="5" t="s">
        <v>41</v>
      </c>
      <c r="J256" s="5" t="s">
        <v>24</v>
      </c>
      <c r="K256" s="8" t="s">
        <v>138</v>
      </c>
      <c r="L256" s="8" t="s">
        <v>139</v>
      </c>
      <c r="M256" s="7" t="s">
        <v>140</v>
      </c>
      <c r="N256" s="8" t="s">
        <v>141</v>
      </c>
      <c r="O256" s="8" t="s">
        <v>142</v>
      </c>
      <c r="P256" s="20">
        <f t="shared" si="11"/>
        <v>0.11713866002999185</v>
      </c>
      <c r="Q256" s="20">
        <f t="shared" si="12"/>
        <v>0.21386158941470768</v>
      </c>
      <c r="R256" s="20">
        <f t="shared" si="13"/>
        <v>-3.9980780109832657E-2</v>
      </c>
    </row>
    <row r="257" spans="1:18" ht="17.399999999999999" x14ac:dyDescent="0.4">
      <c r="A257" s="6" t="s">
        <v>143</v>
      </c>
      <c r="B257" s="4">
        <v>215929877365</v>
      </c>
      <c r="C257" s="4">
        <v>219112749961</v>
      </c>
      <c r="D257" s="4">
        <v>3182872596</v>
      </c>
      <c r="E257" s="4">
        <v>6981848</v>
      </c>
      <c r="F257" s="4">
        <v>3973928</v>
      </c>
      <c r="G257" s="4">
        <v>55138</v>
      </c>
      <c r="H257" s="4">
        <v>31383</v>
      </c>
      <c r="I257" s="5" t="s">
        <v>73</v>
      </c>
      <c r="J257" s="5" t="s">
        <v>24</v>
      </c>
      <c r="K257" s="8" t="s">
        <v>144</v>
      </c>
      <c r="L257" s="8" t="s">
        <v>145</v>
      </c>
      <c r="M257" s="8" t="s">
        <v>146</v>
      </c>
      <c r="N257" s="8" t="s">
        <v>147</v>
      </c>
      <c r="O257" s="8" t="s">
        <v>148</v>
      </c>
      <c r="P257" s="20">
        <f t="shared" si="11"/>
        <v>0.52541420995094124</v>
      </c>
      <c r="Q257" s="20">
        <f t="shared" si="12"/>
        <v>0.50315719400816705</v>
      </c>
      <c r="R257" s="20">
        <f t="shared" si="13"/>
        <v>2.6075281310838794E-2</v>
      </c>
    </row>
    <row r="258" spans="1:18" ht="17.399999999999999" x14ac:dyDescent="0.4">
      <c r="A258" s="6" t="s">
        <v>149</v>
      </c>
      <c r="B258" s="4">
        <v>217450834029</v>
      </c>
      <c r="C258" s="4">
        <v>221180371369</v>
      </c>
      <c r="D258" s="4">
        <v>3729537340</v>
      </c>
      <c r="E258" s="4">
        <v>6930453</v>
      </c>
      <c r="F258" s="4">
        <v>4034460</v>
      </c>
      <c r="G258" s="4">
        <v>54823</v>
      </c>
      <c r="H258" s="4">
        <v>31914</v>
      </c>
      <c r="I258" s="5" t="s">
        <v>48</v>
      </c>
      <c r="J258" s="5" t="s">
        <v>24</v>
      </c>
      <c r="K258" s="8" t="s">
        <v>150</v>
      </c>
      <c r="L258" s="8" t="s">
        <v>128</v>
      </c>
      <c r="M258" s="8" t="s">
        <v>151</v>
      </c>
      <c r="N258" s="7" t="s">
        <v>152</v>
      </c>
      <c r="O258" s="8" t="s">
        <v>153</v>
      </c>
      <c r="P258" s="20">
        <f t="shared" si="11"/>
        <v>-2.3237183292441597E-2</v>
      </c>
      <c r="Q258" s="20">
        <f t="shared" si="12"/>
        <v>-2.7802334412453642E-2</v>
      </c>
      <c r="R258" s="20">
        <f t="shared" si="13"/>
        <v>-4.7563472851373583E-3</v>
      </c>
    </row>
    <row r="259" spans="1:18" ht="17.399999999999999" x14ac:dyDescent="0.4">
      <c r="A259" s="6" t="s">
        <v>154</v>
      </c>
      <c r="B259" s="4">
        <v>206966487758</v>
      </c>
      <c r="C259" s="4">
        <v>210352555795</v>
      </c>
      <c r="D259" s="4">
        <v>3386068037</v>
      </c>
      <c r="E259" s="4">
        <v>6682957</v>
      </c>
      <c r="F259" s="4">
        <v>3892848</v>
      </c>
      <c r="G259" s="4">
        <v>54036</v>
      </c>
      <c r="H259" s="4">
        <v>31476</v>
      </c>
      <c r="I259" s="5" t="s">
        <v>48</v>
      </c>
      <c r="J259" s="5" t="s">
        <v>24</v>
      </c>
      <c r="K259" s="7" t="s">
        <v>155</v>
      </c>
      <c r="L259" s="7" t="s">
        <v>156</v>
      </c>
      <c r="M259" s="7" t="s">
        <v>99</v>
      </c>
      <c r="N259" s="7" t="s">
        <v>157</v>
      </c>
      <c r="O259" s="7" t="s">
        <v>158</v>
      </c>
      <c r="P259" s="20">
        <f t="shared" si="11"/>
        <v>-3.7486537597605375E-2</v>
      </c>
      <c r="Q259" s="20">
        <f t="shared" si="12"/>
        <v>-1.1673946430697312E-2</v>
      </c>
      <c r="R259" s="20">
        <f t="shared" si="13"/>
        <v>-8.787834884544609E-3</v>
      </c>
    </row>
    <row r="260" spans="1:18" ht="17.399999999999999" x14ac:dyDescent="0.4">
      <c r="A260" s="6" t="s">
        <v>159</v>
      </c>
      <c r="B260" s="4">
        <v>202426909025</v>
      </c>
      <c r="C260" s="4">
        <v>205762606700</v>
      </c>
      <c r="D260" s="4">
        <v>3335697675</v>
      </c>
      <c r="E260" s="4">
        <v>6553684</v>
      </c>
      <c r="F260" s="4">
        <v>3845920</v>
      </c>
      <c r="G260" s="4">
        <v>53502</v>
      </c>
      <c r="H260" s="4">
        <v>31396</v>
      </c>
      <c r="I260" s="5" t="s">
        <v>48</v>
      </c>
      <c r="J260" s="5" t="s">
        <v>24</v>
      </c>
      <c r="K260" s="7" t="s">
        <v>160</v>
      </c>
      <c r="L260" s="7" t="s">
        <v>160</v>
      </c>
      <c r="M260" s="7" t="s">
        <v>161</v>
      </c>
      <c r="N260" s="7" t="s">
        <v>86</v>
      </c>
      <c r="O260" s="7" t="s">
        <v>162</v>
      </c>
      <c r="P260" s="20">
        <f t="shared" si="11"/>
        <v>-8.952351282413662E-2</v>
      </c>
      <c r="Q260" s="20">
        <f t="shared" si="12"/>
        <v>-3.9120135274480487E-2</v>
      </c>
      <c r="R260" s="20">
        <f t="shared" si="13"/>
        <v>-4.2647148144349709E-2</v>
      </c>
    </row>
    <row r="261" spans="1:18" ht="17.399999999999999" x14ac:dyDescent="0.4">
      <c r="A261" s="6" t="s">
        <v>163</v>
      </c>
      <c r="B261" s="4">
        <v>186359343251</v>
      </c>
      <c r="C261" s="4">
        <v>189557727776</v>
      </c>
      <c r="D261" s="4">
        <v>3198384525</v>
      </c>
      <c r="E261" s="4">
        <v>5975252</v>
      </c>
      <c r="F261" s="4">
        <v>3593286</v>
      </c>
      <c r="G261" s="4">
        <v>52753</v>
      </c>
      <c r="H261" s="4">
        <v>31724</v>
      </c>
      <c r="I261" s="5" t="s">
        <v>48</v>
      </c>
      <c r="J261" s="5" t="s">
        <v>24</v>
      </c>
      <c r="K261" s="7" t="s">
        <v>132</v>
      </c>
      <c r="L261" s="7" t="s">
        <v>132</v>
      </c>
      <c r="M261" s="7" t="s">
        <v>164</v>
      </c>
      <c r="N261" s="7" t="s">
        <v>165</v>
      </c>
      <c r="O261" s="7" t="s">
        <v>166</v>
      </c>
      <c r="P261" s="20">
        <f t="shared" si="11"/>
        <v>-2.1867452338117536E-2</v>
      </c>
      <c r="Q261" s="20">
        <f t="shared" si="12"/>
        <v>-4.1684869876718558E-2</v>
      </c>
      <c r="R261" s="20">
        <f t="shared" si="13"/>
        <v>-2.8484786709496814E-2</v>
      </c>
    </row>
    <row r="262" spans="1:18" ht="17.399999999999999" x14ac:dyDescent="0.4">
      <c r="A262" s="6" t="s">
        <v>167</v>
      </c>
      <c r="B262" s="4">
        <v>149116950744</v>
      </c>
      <c r="C262" s="4">
        <v>151719718420</v>
      </c>
      <c r="D262" s="4">
        <v>2602767676</v>
      </c>
      <c r="E262" s="4">
        <v>4822431</v>
      </c>
      <c r="F262" s="4">
        <v>3299396</v>
      </c>
      <c r="G262" s="4">
        <v>45984</v>
      </c>
      <c r="H262" s="4">
        <v>31461</v>
      </c>
      <c r="I262" s="5" t="s">
        <v>41</v>
      </c>
      <c r="J262" s="5" t="s">
        <v>24</v>
      </c>
      <c r="K262" s="7" t="s">
        <v>168</v>
      </c>
      <c r="L262" s="7" t="s">
        <v>168</v>
      </c>
      <c r="M262" s="7" t="s">
        <v>169</v>
      </c>
      <c r="N262" s="7" t="s">
        <v>170</v>
      </c>
      <c r="O262" s="7" t="s">
        <v>171</v>
      </c>
      <c r="P262" s="20">
        <f t="shared" si="11"/>
        <v>-3.4338049089768646E-2</v>
      </c>
      <c r="Q262" s="20">
        <f t="shared" si="12"/>
        <v>-4.0910786820404221E-2</v>
      </c>
      <c r="R262" s="20">
        <f t="shared" si="13"/>
        <v>-3.1042847493465683E-2</v>
      </c>
    </row>
    <row r="263" spans="1:18" ht="17.399999999999999" x14ac:dyDescent="0.4">
      <c r="A263" s="6" t="s">
        <v>172</v>
      </c>
      <c r="B263" s="4">
        <v>157951728393</v>
      </c>
      <c r="C263" s="4">
        <v>160054795859</v>
      </c>
      <c r="D263" s="4">
        <v>2103067466</v>
      </c>
      <c r="E263" s="4">
        <v>5142576</v>
      </c>
      <c r="F263" s="4">
        <v>3493134</v>
      </c>
      <c r="G263" s="4">
        <v>45820</v>
      </c>
      <c r="H263" s="4">
        <v>31123</v>
      </c>
      <c r="I263" s="5" t="s">
        <v>41</v>
      </c>
      <c r="J263" s="5" t="s">
        <v>24</v>
      </c>
      <c r="K263" s="8" t="s">
        <v>173</v>
      </c>
      <c r="L263" s="8" t="s">
        <v>174</v>
      </c>
      <c r="M263" s="7" t="s">
        <v>175</v>
      </c>
      <c r="N263" s="8" t="s">
        <v>176</v>
      </c>
      <c r="O263" s="8" t="s">
        <v>173</v>
      </c>
      <c r="P263" s="20">
        <f>(B263-B256)/B256</f>
        <v>3.586307770482332E-3</v>
      </c>
      <c r="Q263" s="20">
        <f t="shared" si="12"/>
        <v>-4.805889217228747E-3</v>
      </c>
      <c r="R263" s="20">
        <f t="shared" si="13"/>
        <v>1.9527827440434398E-4</v>
      </c>
    </row>
    <row r="264" spans="1:18" ht="22.05" customHeight="1" x14ac:dyDescent="0.4">
      <c r="A264" s="12" t="s">
        <v>816</v>
      </c>
      <c r="B264" s="13">
        <v>217018238169</v>
      </c>
      <c r="C264" s="13">
        <v>220013927248</v>
      </c>
      <c r="D264" s="13">
        <v>2995689079</v>
      </c>
      <c r="E264" s="13">
        <v>6965125</v>
      </c>
      <c r="F264" s="13">
        <v>3981121</v>
      </c>
      <c r="G264" s="13">
        <v>55264</v>
      </c>
      <c r="H264" s="13">
        <v>31588</v>
      </c>
      <c r="I264" s="14" t="s">
        <v>48</v>
      </c>
      <c r="J264" s="14" t="s">
        <v>24</v>
      </c>
      <c r="K264" s="15" t="s">
        <v>817</v>
      </c>
      <c r="L264" s="15" t="s">
        <v>818</v>
      </c>
      <c r="M264" s="15" t="s">
        <v>819</v>
      </c>
      <c r="N264" s="15" t="s">
        <v>820</v>
      </c>
      <c r="O264" s="15" t="s">
        <v>673</v>
      </c>
      <c r="P264" s="20">
        <f t="shared" ref="P264:P271" si="14">(B264-B257)/B257</f>
        <v>5.0403437323324855E-3</v>
      </c>
      <c r="Q264" s="20">
        <f t="shared" ref="Q264:Q271" si="15">(E264-E257)/E257</f>
        <v>-2.3952111246191552E-3</v>
      </c>
      <c r="R264" s="20">
        <f t="shared" ref="R264:R271" si="16">(F264-F257)/F257</f>
        <v>1.810047892161106E-3</v>
      </c>
    </row>
    <row r="265" spans="1:18" ht="22.05" customHeight="1" x14ac:dyDescent="0.4">
      <c r="A265" s="12" t="s">
        <v>821</v>
      </c>
      <c r="B265" s="13">
        <v>200341861967</v>
      </c>
      <c r="C265" s="13">
        <v>203757907022</v>
      </c>
      <c r="D265" s="13">
        <v>3416045055</v>
      </c>
      <c r="E265" s="13">
        <v>6490250</v>
      </c>
      <c r="F265" s="13">
        <v>3833547</v>
      </c>
      <c r="G265" s="13">
        <v>53151</v>
      </c>
      <c r="H265" s="13">
        <v>31394</v>
      </c>
      <c r="I265" s="14" t="s">
        <v>48</v>
      </c>
      <c r="J265" s="14" t="s">
        <v>24</v>
      </c>
      <c r="K265" s="16" t="s">
        <v>316</v>
      </c>
      <c r="L265" s="16" t="s">
        <v>294</v>
      </c>
      <c r="M265" s="15" t="s">
        <v>673</v>
      </c>
      <c r="N265" s="16" t="s">
        <v>220</v>
      </c>
      <c r="O265" s="16" t="s">
        <v>241</v>
      </c>
      <c r="P265" s="20">
        <f t="shared" si="14"/>
        <v>-7.8679726101755429E-2</v>
      </c>
      <c r="Q265" s="20">
        <f t="shared" si="15"/>
        <v>-6.3517204430936905E-2</v>
      </c>
      <c r="R265" s="20">
        <f t="shared" si="16"/>
        <v>-4.9799229636680001E-2</v>
      </c>
    </row>
    <row r="266" spans="1:18" ht="22.05" customHeight="1" x14ac:dyDescent="0.4">
      <c r="A266" s="12" t="s">
        <v>822</v>
      </c>
      <c r="B266" s="13">
        <v>195313606140</v>
      </c>
      <c r="C266" s="13">
        <v>198415728064</v>
      </c>
      <c r="D266" s="13">
        <v>3102121924</v>
      </c>
      <c r="E266" s="13">
        <v>6274203</v>
      </c>
      <c r="F266" s="13">
        <v>3774197</v>
      </c>
      <c r="G266" s="13">
        <v>52572</v>
      </c>
      <c r="H266" s="13">
        <v>31624</v>
      </c>
      <c r="I266" s="14" t="s">
        <v>48</v>
      </c>
      <c r="J266" s="14" t="s">
        <v>24</v>
      </c>
      <c r="K266" s="16" t="s">
        <v>213</v>
      </c>
      <c r="L266" s="16" t="s">
        <v>206</v>
      </c>
      <c r="M266" s="16" t="s">
        <v>99</v>
      </c>
      <c r="N266" s="16" t="s">
        <v>525</v>
      </c>
      <c r="O266" s="16" t="s">
        <v>161</v>
      </c>
      <c r="P266" s="20">
        <f t="shared" si="14"/>
        <v>-5.6303229301670234E-2</v>
      </c>
      <c r="Q266" s="20">
        <f t="shared" si="15"/>
        <v>-6.1163643578733183E-2</v>
      </c>
      <c r="R266" s="20">
        <f t="shared" si="16"/>
        <v>-3.0479227547543598E-2</v>
      </c>
    </row>
    <row r="267" spans="1:18" ht="22.05" customHeight="1" x14ac:dyDescent="0.4">
      <c r="A267" s="12" t="s">
        <v>823</v>
      </c>
      <c r="B267" s="13">
        <v>191327776908</v>
      </c>
      <c r="C267" s="13">
        <v>194332427154</v>
      </c>
      <c r="D267" s="13">
        <v>3004650246</v>
      </c>
      <c r="E267" s="13">
        <v>6109716</v>
      </c>
      <c r="F267" s="13">
        <v>3688291</v>
      </c>
      <c r="G267" s="13">
        <v>52689</v>
      </c>
      <c r="H267" s="13">
        <v>31807</v>
      </c>
      <c r="I267" s="14" t="s">
        <v>48</v>
      </c>
      <c r="J267" s="14" t="s">
        <v>24</v>
      </c>
      <c r="K267" s="16" t="s">
        <v>306</v>
      </c>
      <c r="L267" s="16" t="s">
        <v>96</v>
      </c>
      <c r="M267" s="16" t="s">
        <v>123</v>
      </c>
      <c r="N267" s="16" t="s">
        <v>206</v>
      </c>
      <c r="O267" s="16" t="s">
        <v>92</v>
      </c>
      <c r="P267" s="20">
        <f t="shared" si="14"/>
        <v>-5.4830319597624452E-2</v>
      </c>
      <c r="Q267" s="20">
        <f t="shared" si="15"/>
        <v>-6.7743272333545532E-2</v>
      </c>
      <c r="R267" s="20">
        <f t="shared" si="16"/>
        <v>-4.0986031950742602E-2</v>
      </c>
    </row>
    <row r="268" spans="1:18" ht="22.05" customHeight="1" x14ac:dyDescent="0.4">
      <c r="A268" s="12" t="s">
        <v>824</v>
      </c>
      <c r="B268" s="13">
        <v>181124288502</v>
      </c>
      <c r="C268" s="13">
        <v>184234507945</v>
      </c>
      <c r="D268" s="13">
        <v>3110219443</v>
      </c>
      <c r="E268" s="13">
        <v>5859894</v>
      </c>
      <c r="F268" s="13">
        <v>3550632</v>
      </c>
      <c r="G268" s="13">
        <v>51888</v>
      </c>
      <c r="H268" s="13">
        <v>31440</v>
      </c>
      <c r="I268" s="14" t="s">
        <v>48</v>
      </c>
      <c r="J268" s="14" t="s">
        <v>24</v>
      </c>
      <c r="K268" s="16" t="s">
        <v>37</v>
      </c>
      <c r="L268" s="16" t="s">
        <v>100</v>
      </c>
      <c r="M268" s="15" t="s">
        <v>399</v>
      </c>
      <c r="N268" s="16" t="s">
        <v>164</v>
      </c>
      <c r="O268" s="16" t="s">
        <v>241</v>
      </c>
      <c r="P268" s="20">
        <f t="shared" si="14"/>
        <v>-2.809118479210947E-2</v>
      </c>
      <c r="Q268" s="20">
        <f t="shared" si="15"/>
        <v>-1.9305963999509977E-2</v>
      </c>
      <c r="R268" s="20">
        <f t="shared" si="16"/>
        <v>-1.1870471763171648E-2</v>
      </c>
    </row>
    <row r="269" spans="1:18" ht="22.05" customHeight="1" x14ac:dyDescent="0.4">
      <c r="A269" s="12" t="s">
        <v>825</v>
      </c>
      <c r="B269" s="13">
        <v>145626186730</v>
      </c>
      <c r="C269" s="13">
        <v>148007871450</v>
      </c>
      <c r="D269" s="13">
        <v>2381684720</v>
      </c>
      <c r="E269" s="13">
        <v>4867790</v>
      </c>
      <c r="F269" s="13">
        <v>3311453</v>
      </c>
      <c r="G269" s="13">
        <v>44696</v>
      </c>
      <c r="H269" s="13">
        <v>30406</v>
      </c>
      <c r="I269" s="14" t="s">
        <v>41</v>
      </c>
      <c r="J269" s="14" t="s">
        <v>24</v>
      </c>
      <c r="K269" s="16" t="s">
        <v>296</v>
      </c>
      <c r="L269" s="16" t="s">
        <v>406</v>
      </c>
      <c r="M269" s="16" t="s">
        <v>826</v>
      </c>
      <c r="N269" s="16" t="s">
        <v>827</v>
      </c>
      <c r="O269" s="16" t="s">
        <v>65</v>
      </c>
      <c r="P269" s="20">
        <f t="shared" si="14"/>
        <v>-2.34095721283414E-2</v>
      </c>
      <c r="Q269" s="20">
        <f t="shared" si="15"/>
        <v>9.4058370145679634E-3</v>
      </c>
      <c r="R269" s="20">
        <f t="shared" si="16"/>
        <v>3.6543052122267228E-3</v>
      </c>
    </row>
    <row r="270" spans="1:18" ht="22.05" customHeight="1" x14ac:dyDescent="0.4">
      <c r="A270" s="12" t="s">
        <v>828</v>
      </c>
      <c r="B270" s="13">
        <v>153832900840</v>
      </c>
      <c r="C270" s="13">
        <v>155893807275</v>
      </c>
      <c r="D270" s="13">
        <v>2060906435</v>
      </c>
      <c r="E270" s="13">
        <v>5147932</v>
      </c>
      <c r="F270" s="13">
        <v>3482760</v>
      </c>
      <c r="G270" s="13">
        <v>44762</v>
      </c>
      <c r="H270" s="13">
        <v>30283</v>
      </c>
      <c r="I270" s="14" t="s">
        <v>41</v>
      </c>
      <c r="J270" s="14" t="s">
        <v>24</v>
      </c>
      <c r="K270" s="15" t="s">
        <v>502</v>
      </c>
      <c r="L270" s="15" t="s">
        <v>572</v>
      </c>
      <c r="M270" s="16" t="s">
        <v>222</v>
      </c>
      <c r="N270" s="15" t="s">
        <v>274</v>
      </c>
      <c r="O270" s="15" t="s">
        <v>718</v>
      </c>
      <c r="P270" s="20">
        <f t="shared" si="14"/>
        <v>-2.6076495616128601E-2</v>
      </c>
      <c r="Q270" s="20">
        <f t="shared" si="15"/>
        <v>1.0415013798532097E-3</v>
      </c>
      <c r="R270" s="20">
        <f t="shared" si="16"/>
        <v>-2.9698259499921845E-3</v>
      </c>
    </row>
    <row r="271" spans="1:18" ht="22.05" customHeight="1" x14ac:dyDescent="0.4">
      <c r="A271" s="12" t="s">
        <v>829</v>
      </c>
      <c r="B271" s="13">
        <v>408252176183</v>
      </c>
      <c r="C271" s="13">
        <v>211001407747</v>
      </c>
      <c r="D271" s="13">
        <v>2749231564</v>
      </c>
      <c r="E271" s="13">
        <v>6847608</v>
      </c>
      <c r="F271" s="13">
        <v>3891410</v>
      </c>
      <c r="G271" s="13">
        <v>54222</v>
      </c>
      <c r="H271" s="13">
        <v>30814</v>
      </c>
      <c r="I271" s="14" t="s">
        <v>73</v>
      </c>
      <c r="J271" s="14" t="s">
        <v>24</v>
      </c>
      <c r="K271" s="15" t="s">
        <v>820</v>
      </c>
      <c r="L271" s="15" t="s">
        <v>43</v>
      </c>
      <c r="M271" s="15" t="s">
        <v>200</v>
      </c>
      <c r="N271" s="15" t="s">
        <v>830</v>
      </c>
      <c r="O271" s="15" t="s">
        <v>470</v>
      </c>
      <c r="P271" s="20">
        <f t="shared" si="14"/>
        <v>0.88118832604787423</v>
      </c>
      <c r="Q271" s="20">
        <f t="shared" si="15"/>
        <v>-1.6872202580714632E-2</v>
      </c>
      <c r="R271" s="20">
        <f t="shared" si="16"/>
        <v>-2.2534105343695907E-2</v>
      </c>
    </row>
  </sheetData>
  <autoFilter ref="A5:O5" xr:uid="{00000000-0009-0000-0000-000000000000}"/>
  <mergeCells count="5">
    <mergeCell ref="A3:A5"/>
    <mergeCell ref="B4:O4"/>
    <mergeCell ref="P4:R4"/>
    <mergeCell ref="B3:R3"/>
    <mergeCell ref="B1:R1"/>
  </mergeCells>
  <phoneticPr fontId="2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민혜린</cp:lastModifiedBy>
  <dcterms:created xsi:type="dcterms:W3CDTF">2026-03-16T09:25:26Z</dcterms:created>
  <dcterms:modified xsi:type="dcterms:W3CDTF">2026-04-10T06:07:22Z</dcterms:modified>
</cp:coreProperties>
</file>